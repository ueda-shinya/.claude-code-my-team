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uedajp-my.sharepoint.com/personal/uedashinya_officeueda_com/Documents/見積り-契約書等/"/>
    </mc:Choice>
  </mc:AlternateContent>
  <xr:revisionPtr revIDLastSave="2370" documentId="8_{C265ACDE-A217-457F-AE7D-93C9653261AE}" xr6:coauthVersionLast="47" xr6:coauthVersionMax="47" xr10:uidLastSave="{197B4FA2-3C0D-4B29-B84E-C31F451D744E}"/>
  <bookViews>
    <workbookView xWindow="-120" yWindow="-120" windowWidth="29040" windowHeight="15720" xr2:uid="{E5A7ACD6-F71E-407B-BCE1-D3C8CB7B45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8" i="1" l="1"/>
  <c r="L178" i="1" l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171" i="1"/>
  <c r="L170" i="1"/>
  <c r="L169" i="1"/>
  <c r="L168" i="1"/>
  <c r="L167" i="1"/>
  <c r="L166" i="1"/>
  <c r="L165" i="1"/>
  <c r="L164" i="1"/>
  <c r="L163" i="1"/>
  <c r="L162" i="1"/>
  <c r="L172" i="1"/>
  <c r="L173" i="1"/>
  <c r="L174" i="1"/>
  <c r="L175" i="1"/>
  <c r="L176" i="1"/>
  <c r="L177" i="1"/>
  <c r="L141" i="1" l="1"/>
  <c r="L133" i="1" l="1"/>
  <c r="L134" i="1"/>
  <c r="L135" i="1"/>
  <c r="L136" i="1"/>
  <c r="L137" i="1"/>
  <c r="L138" i="1"/>
  <c r="L139" i="1"/>
  <c r="L140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32" i="1"/>
  <c r="L1" i="1" l="1"/>
</calcChain>
</file>

<file path=xl/sharedStrings.xml><?xml version="1.0" encoding="utf-8"?>
<sst xmlns="http://schemas.openxmlformats.org/spreadsheetml/2006/main" count="993" uniqueCount="551">
  <si>
    <t>管理番号</t>
    <rPh sb="0" eb="2">
      <t>カンリ</t>
    </rPh>
    <rPh sb="2" eb="4">
      <t>バンゴウ</t>
    </rPh>
    <phoneticPr fontId="1"/>
  </si>
  <si>
    <t>発行日</t>
    <rPh sb="0" eb="3">
      <t>ハッコウビ</t>
    </rPh>
    <phoneticPr fontId="1"/>
  </si>
  <si>
    <t>相手先</t>
    <rPh sb="0" eb="3">
      <t>アイテサキ</t>
    </rPh>
    <phoneticPr fontId="1"/>
  </si>
  <si>
    <t>金額</t>
    <rPh sb="0" eb="2">
      <t>キンガク</t>
    </rPh>
    <phoneticPr fontId="1"/>
  </si>
  <si>
    <t>納品日</t>
    <rPh sb="0" eb="3">
      <t>ノウヒンビ</t>
    </rPh>
    <phoneticPr fontId="1"/>
  </si>
  <si>
    <t>納品書</t>
    <rPh sb="0" eb="3">
      <t>ノウヒンショ</t>
    </rPh>
    <phoneticPr fontId="1"/>
  </si>
  <si>
    <t>請求書</t>
    <rPh sb="0" eb="3">
      <t>セイキュウショ</t>
    </rPh>
    <phoneticPr fontId="1"/>
  </si>
  <si>
    <t>領収書</t>
    <rPh sb="0" eb="3">
      <t>リョウシュウショ</t>
    </rPh>
    <phoneticPr fontId="1"/>
  </si>
  <si>
    <t>記号</t>
    <rPh sb="0" eb="2">
      <t>キゴウ</t>
    </rPh>
    <phoneticPr fontId="1"/>
  </si>
  <si>
    <t>220824A-01</t>
    <phoneticPr fontId="1"/>
  </si>
  <si>
    <t>合同会社クリエイトモア</t>
    <phoneticPr fontId="1"/>
  </si>
  <si>
    <t>A</t>
    <phoneticPr fontId="1"/>
  </si>
  <si>
    <t>220927A-01</t>
    <phoneticPr fontId="1"/>
  </si>
  <si>
    <t>B</t>
    <phoneticPr fontId="1"/>
  </si>
  <si>
    <t>wearecreators　藤野愛</t>
    <phoneticPr fontId="1"/>
  </si>
  <si>
    <t>230217B-01</t>
    <phoneticPr fontId="1"/>
  </si>
  <si>
    <t>-</t>
    <phoneticPr fontId="1"/>
  </si>
  <si>
    <t>C</t>
    <phoneticPr fontId="1"/>
  </si>
  <si>
    <t>西田 浩平</t>
    <rPh sb="0" eb="2">
      <t>ニシタ</t>
    </rPh>
    <rPh sb="3" eb="5">
      <t>コウヘイ</t>
    </rPh>
    <phoneticPr fontId="1"/>
  </si>
  <si>
    <t>230217C-02</t>
    <phoneticPr fontId="1"/>
  </si>
  <si>
    <t>発注書</t>
    <rPh sb="0" eb="3">
      <t>ハッチュウショ</t>
    </rPh>
    <phoneticPr fontId="1"/>
  </si>
  <si>
    <t>D</t>
    <phoneticPr fontId="1"/>
  </si>
  <si>
    <t>株式会社ランドプランニング</t>
    <rPh sb="0" eb="4">
      <t>カブシキガイシャ</t>
    </rPh>
    <phoneticPr fontId="1"/>
  </si>
  <si>
    <t>230314D-01</t>
    <phoneticPr fontId="1"/>
  </si>
  <si>
    <t>ランドプランニング</t>
    <phoneticPr fontId="1"/>
  </si>
  <si>
    <t>E</t>
    <phoneticPr fontId="1"/>
  </si>
  <si>
    <t>Lアドマーケ　石原弘行</t>
    <phoneticPr fontId="1"/>
  </si>
  <si>
    <t>230401B-01</t>
    <phoneticPr fontId="1"/>
  </si>
  <si>
    <t>F</t>
    <phoneticPr fontId="1"/>
  </si>
  <si>
    <t>横山豊</t>
    <phoneticPr fontId="1"/>
  </si>
  <si>
    <t>230406B-01</t>
    <phoneticPr fontId="1"/>
  </si>
  <si>
    <t>G</t>
    <phoneticPr fontId="1"/>
  </si>
  <si>
    <t>藤井真澄</t>
    <phoneticPr fontId="1"/>
  </si>
  <si>
    <t>230419E-01</t>
    <phoneticPr fontId="1"/>
  </si>
  <si>
    <t>H</t>
    <phoneticPr fontId="1"/>
  </si>
  <si>
    <t>野寺風吹</t>
    <rPh sb="0" eb="2">
      <t>ノデラ</t>
    </rPh>
    <rPh sb="2" eb="4">
      <t>フブキ</t>
    </rPh>
    <phoneticPr fontId="1"/>
  </si>
  <si>
    <t>230430E-01</t>
    <phoneticPr fontId="1"/>
  </si>
  <si>
    <t>I</t>
    <phoneticPr fontId="1"/>
  </si>
  <si>
    <t>武藤隆志</t>
    <phoneticPr fontId="1"/>
  </si>
  <si>
    <t>230505F-01</t>
    <phoneticPr fontId="1"/>
  </si>
  <si>
    <t>J</t>
    <phoneticPr fontId="1"/>
  </si>
  <si>
    <t xml:space="preserve">Design MAUM 西山正美 </t>
    <phoneticPr fontId="1"/>
  </si>
  <si>
    <t>230505D-01</t>
    <phoneticPr fontId="1"/>
  </si>
  <si>
    <t>K</t>
    <phoneticPr fontId="1"/>
  </si>
  <si>
    <t>別所好子</t>
    <rPh sb="0" eb="2">
      <t>ベッショ</t>
    </rPh>
    <rPh sb="2" eb="4">
      <t>ヨシコ</t>
    </rPh>
    <phoneticPr fontId="1"/>
  </si>
  <si>
    <t>230526G-01</t>
    <phoneticPr fontId="1"/>
  </si>
  <si>
    <t>L</t>
    <phoneticPr fontId="1"/>
  </si>
  <si>
    <t>小館里依</t>
    <phoneticPr fontId="1"/>
  </si>
  <si>
    <t>230601D-01</t>
    <phoneticPr fontId="1"/>
  </si>
  <si>
    <t>M</t>
    <phoneticPr fontId="1"/>
  </si>
  <si>
    <t>松田ひろみ</t>
    <rPh sb="0" eb="2">
      <t>マツダ</t>
    </rPh>
    <phoneticPr fontId="1"/>
  </si>
  <si>
    <t>230621H-01</t>
    <phoneticPr fontId="1"/>
  </si>
  <si>
    <t>野寺風吹</t>
    <phoneticPr fontId="1"/>
  </si>
  <si>
    <t>N</t>
    <phoneticPr fontId="1"/>
  </si>
  <si>
    <t>トレイルヘッドパートナーズ</t>
    <phoneticPr fontId="1"/>
  </si>
  <si>
    <t>230705D-01</t>
    <phoneticPr fontId="1"/>
  </si>
  <si>
    <t>O</t>
    <phoneticPr fontId="1"/>
  </si>
  <si>
    <t>合同会社ルーチェワークス</t>
    <phoneticPr fontId="1"/>
  </si>
  <si>
    <t>230725D-01</t>
    <phoneticPr fontId="1"/>
  </si>
  <si>
    <t>P</t>
    <phoneticPr fontId="1"/>
  </si>
  <si>
    <t>カワイデザイン</t>
    <phoneticPr fontId="1"/>
  </si>
  <si>
    <t>かわいさん</t>
    <phoneticPr fontId="1"/>
  </si>
  <si>
    <t>230825I-01</t>
    <phoneticPr fontId="1"/>
  </si>
  <si>
    <t>Q</t>
    <phoneticPr fontId="1"/>
  </si>
  <si>
    <t>松下知加</t>
    <phoneticPr fontId="1"/>
  </si>
  <si>
    <t>230901B-01</t>
    <phoneticPr fontId="1"/>
  </si>
  <si>
    <t>R</t>
    <phoneticPr fontId="1"/>
  </si>
  <si>
    <t>満田愛</t>
    <phoneticPr fontId="1"/>
  </si>
  <si>
    <t>230906J-01</t>
    <phoneticPr fontId="1"/>
  </si>
  <si>
    <t>S</t>
    <phoneticPr fontId="1"/>
  </si>
  <si>
    <t>prettyfairy</t>
    <phoneticPr fontId="1"/>
  </si>
  <si>
    <t>230907G-01</t>
    <phoneticPr fontId="1"/>
  </si>
  <si>
    <t>T</t>
    <phoneticPr fontId="1"/>
  </si>
  <si>
    <t>株式会社ブルーブラウン</t>
    <phoneticPr fontId="1"/>
  </si>
  <si>
    <t>ハルミさん</t>
    <phoneticPr fontId="1"/>
  </si>
  <si>
    <t>230924B-01</t>
    <phoneticPr fontId="1"/>
  </si>
  <si>
    <t>U</t>
    <phoneticPr fontId="1"/>
  </si>
  <si>
    <t>松原工業株式会社</t>
    <rPh sb="0" eb="2">
      <t>マツバラ</t>
    </rPh>
    <rPh sb="2" eb="4">
      <t>コウギョウ</t>
    </rPh>
    <rPh sb="4" eb="6">
      <t>カブシキ</t>
    </rPh>
    <rPh sb="6" eb="8">
      <t>ガイシャ</t>
    </rPh>
    <phoneticPr fontId="1"/>
  </si>
  <si>
    <t>231002G-01</t>
    <phoneticPr fontId="1"/>
  </si>
  <si>
    <t>V</t>
    <phoneticPr fontId="1"/>
  </si>
  <si>
    <t>聖-HiJiRi-デザイン</t>
    <phoneticPr fontId="1"/>
  </si>
  <si>
    <t>かおりさん</t>
    <phoneticPr fontId="1"/>
  </si>
  <si>
    <t>231002D-01</t>
    <phoneticPr fontId="1"/>
  </si>
  <si>
    <t>W</t>
    <phoneticPr fontId="1"/>
  </si>
  <si>
    <t>イデアコネクト</t>
    <phoneticPr fontId="1"/>
  </si>
  <si>
    <t>蒲生さん</t>
    <rPh sb="0" eb="2">
      <t>ガモウ</t>
    </rPh>
    <phoneticPr fontId="1"/>
  </si>
  <si>
    <t>231101K-01</t>
    <phoneticPr fontId="1"/>
  </si>
  <si>
    <t>X</t>
    <phoneticPr fontId="1"/>
  </si>
  <si>
    <t>合同会社PlayTree</t>
    <rPh sb="0" eb="4">
      <t>ゴウドウガイシャ</t>
    </rPh>
    <phoneticPr fontId="1"/>
  </si>
  <si>
    <t>Ryujiさん</t>
    <phoneticPr fontId="1"/>
  </si>
  <si>
    <t>231102L-01</t>
    <phoneticPr fontId="1"/>
  </si>
  <si>
    <t>Y</t>
    <phoneticPr fontId="1"/>
  </si>
  <si>
    <t>CitrineWebDesign</t>
    <phoneticPr fontId="1"/>
  </si>
  <si>
    <t>柳井紗緒里さん</t>
    <phoneticPr fontId="1"/>
  </si>
  <si>
    <t>231102D-02</t>
    <phoneticPr fontId="1"/>
  </si>
  <si>
    <t>Z</t>
    <phoneticPr fontId="1"/>
  </si>
  <si>
    <t>ビブリ・ライティング</t>
    <phoneticPr fontId="1"/>
  </si>
  <si>
    <t>福重さん</t>
    <rPh sb="0" eb="2">
      <t>フクシゲ</t>
    </rPh>
    <phoneticPr fontId="1"/>
  </si>
  <si>
    <t>231106L-01</t>
    <phoneticPr fontId="1"/>
  </si>
  <si>
    <t>AA</t>
    <phoneticPr fontId="1"/>
  </si>
  <si>
    <t>ステージメソッド塾　西角</t>
    <phoneticPr fontId="1"/>
  </si>
  <si>
    <t>231127M-01</t>
    <phoneticPr fontId="1"/>
  </si>
  <si>
    <t>AB</t>
    <phoneticPr fontId="1"/>
  </si>
  <si>
    <t>e-more world</t>
    <phoneticPr fontId="1"/>
  </si>
  <si>
    <t>林様</t>
    <rPh sb="0" eb="2">
      <t>ハヤシサマ</t>
    </rPh>
    <phoneticPr fontId="1"/>
  </si>
  <si>
    <t>231206D-01</t>
    <phoneticPr fontId="1"/>
  </si>
  <si>
    <t>AC</t>
    <phoneticPr fontId="1"/>
  </si>
  <si>
    <t>株式会社Record</t>
    <phoneticPr fontId="1"/>
  </si>
  <si>
    <t>じぇいさん</t>
    <phoneticPr fontId="1"/>
  </si>
  <si>
    <t>231220K-01</t>
    <phoneticPr fontId="1"/>
  </si>
  <si>
    <t>AD</t>
    <phoneticPr fontId="1"/>
  </si>
  <si>
    <t>ぷに株式会社</t>
    <phoneticPr fontId="1"/>
  </si>
  <si>
    <t>もえさん</t>
    <phoneticPr fontId="1"/>
  </si>
  <si>
    <t>20231225ZZZ-01</t>
    <phoneticPr fontId="1"/>
  </si>
  <si>
    <t>原</t>
    <rPh sb="0" eb="1">
      <t>ハラ</t>
    </rPh>
    <phoneticPr fontId="1"/>
  </si>
  <si>
    <t>240115N-01</t>
    <phoneticPr fontId="1"/>
  </si>
  <si>
    <t>240123ZZZ-01</t>
    <phoneticPr fontId="1"/>
  </si>
  <si>
    <t>240128ZZZ-01</t>
    <phoneticPr fontId="1"/>
  </si>
  <si>
    <t>広島元気サービス株式会社</t>
    <phoneticPr fontId="1"/>
  </si>
  <si>
    <t>240205D-01</t>
    <phoneticPr fontId="1"/>
  </si>
  <si>
    <t>240209ZZZ-01</t>
    <phoneticPr fontId="1"/>
  </si>
  <si>
    <t>240221L-01</t>
    <phoneticPr fontId="1"/>
  </si>
  <si>
    <t>240228ZZZ-01</t>
    <phoneticPr fontId="1"/>
  </si>
  <si>
    <t>西尾雅輝</t>
    <phoneticPr fontId="1"/>
  </si>
  <si>
    <t>240306D-01</t>
    <phoneticPr fontId="1"/>
  </si>
  <si>
    <t>240306K-01</t>
    <phoneticPr fontId="1"/>
  </si>
  <si>
    <t>240325O-01</t>
    <phoneticPr fontId="1"/>
  </si>
  <si>
    <t>240325L-01</t>
    <phoneticPr fontId="1"/>
  </si>
  <si>
    <t>240327P-01</t>
    <phoneticPr fontId="1"/>
  </si>
  <si>
    <t>240329O-01</t>
    <phoneticPr fontId="1"/>
  </si>
  <si>
    <t>240403O-01</t>
    <phoneticPr fontId="1"/>
  </si>
  <si>
    <t>キャンセル</t>
  </si>
  <si>
    <t>-</t>
  </si>
  <si>
    <t>240409D-01</t>
    <phoneticPr fontId="1"/>
  </si>
  <si>
    <t>240411O-01</t>
    <phoneticPr fontId="1"/>
  </si>
  <si>
    <t>240417O-01</t>
    <phoneticPr fontId="1"/>
  </si>
  <si>
    <t>240417Q-01</t>
    <phoneticPr fontId="1"/>
  </si>
  <si>
    <t>240424G-01</t>
    <phoneticPr fontId="1"/>
  </si>
  <si>
    <t>240425G-01</t>
    <phoneticPr fontId="1"/>
  </si>
  <si>
    <t>240603G-01で処理</t>
    <rPh sb="11" eb="13">
      <t>ショリ</t>
    </rPh>
    <phoneticPr fontId="1"/>
  </si>
  <si>
    <t>240425R-01</t>
    <phoneticPr fontId="1"/>
  </si>
  <si>
    <t>240429O-01</t>
  </si>
  <si>
    <t>240507K-01</t>
    <phoneticPr fontId="1"/>
  </si>
  <si>
    <t>240513S-01</t>
    <phoneticPr fontId="1"/>
  </si>
  <si>
    <t>240524T-01</t>
    <phoneticPr fontId="1"/>
  </si>
  <si>
    <t>240524ZZZ-01</t>
    <phoneticPr fontId="1"/>
  </si>
  <si>
    <t>東 直也</t>
    <rPh sb="0" eb="1">
      <t>ヒガシ</t>
    </rPh>
    <rPh sb="2" eb="4">
      <t>ナオヤ</t>
    </rPh>
    <phoneticPr fontId="1"/>
  </si>
  <si>
    <t>240529D-01</t>
    <phoneticPr fontId="1"/>
  </si>
  <si>
    <t>240601O-02</t>
    <phoneticPr fontId="1"/>
  </si>
  <si>
    <t>合同会社ルーチェワークス</t>
  </si>
  <si>
    <t>240603U-01</t>
    <phoneticPr fontId="1"/>
  </si>
  <si>
    <t>240603G-01</t>
    <phoneticPr fontId="1"/>
  </si>
  <si>
    <t>240605R-01</t>
    <phoneticPr fontId="1"/>
  </si>
  <si>
    <t>240619V-01</t>
    <phoneticPr fontId="1"/>
  </si>
  <si>
    <t>240620ZZZ-01</t>
    <phoneticPr fontId="1"/>
  </si>
  <si>
    <t>ステージメソッド塾</t>
    <rPh sb="8" eb="9">
      <t>ジュク</t>
    </rPh>
    <phoneticPr fontId="1"/>
  </si>
  <si>
    <t>キャンセル</t>
    <phoneticPr fontId="1"/>
  </si>
  <si>
    <t>240622W-01</t>
    <phoneticPr fontId="1"/>
  </si>
  <si>
    <t>240626X-01</t>
    <phoneticPr fontId="1"/>
  </si>
  <si>
    <t>240627K-01</t>
    <phoneticPr fontId="1"/>
  </si>
  <si>
    <t>240628K-01</t>
    <phoneticPr fontId="1"/>
  </si>
  <si>
    <t>240630O-01</t>
    <phoneticPr fontId="1"/>
  </si>
  <si>
    <t>240702D-01</t>
    <phoneticPr fontId="1"/>
  </si>
  <si>
    <t>240708Y-01</t>
    <phoneticPr fontId="1"/>
  </si>
  <si>
    <t>フィアナ様WP</t>
    <rPh sb="4" eb="5">
      <t>サマ</t>
    </rPh>
    <phoneticPr fontId="1"/>
  </si>
  <si>
    <t>240720Z-01</t>
    <phoneticPr fontId="1"/>
  </si>
  <si>
    <t>240723Y-01</t>
    <phoneticPr fontId="1"/>
  </si>
  <si>
    <t>ちょうのさまWP</t>
    <phoneticPr fontId="1"/>
  </si>
  <si>
    <t>240729AA-02</t>
    <phoneticPr fontId="1"/>
  </si>
  <si>
    <t>ステージメソッド塾　西角</t>
    <rPh sb="8" eb="9">
      <t>ジュク</t>
    </rPh>
    <rPh sb="10" eb="11">
      <t>ニシ</t>
    </rPh>
    <rPh sb="11" eb="12">
      <t>カド</t>
    </rPh>
    <phoneticPr fontId="1"/>
  </si>
  <si>
    <t>240801D-01</t>
    <phoneticPr fontId="1"/>
  </si>
  <si>
    <t>240801ZZZ-01</t>
    <phoneticPr fontId="1"/>
  </si>
  <si>
    <t>井澤琢幹</t>
    <rPh sb="0" eb="2">
      <t>イザワ</t>
    </rPh>
    <rPh sb="2" eb="3">
      <t>タク</t>
    </rPh>
    <rPh sb="3" eb="4">
      <t>ミキ</t>
    </rPh>
    <phoneticPr fontId="1"/>
  </si>
  <si>
    <t>240802L-01</t>
    <phoneticPr fontId="1"/>
  </si>
  <si>
    <t>240809AB-01</t>
    <phoneticPr fontId="1"/>
  </si>
  <si>
    <t>240809O-01</t>
    <phoneticPr fontId="1"/>
  </si>
  <si>
    <t>240812Y-01</t>
    <phoneticPr fontId="1"/>
  </si>
  <si>
    <t>240919O-01</t>
  </si>
  <si>
    <t>240820AB-01</t>
    <phoneticPr fontId="1"/>
  </si>
  <si>
    <t>240821Y-01</t>
    <phoneticPr fontId="1"/>
  </si>
  <si>
    <t>240822Y-01</t>
    <phoneticPr fontId="1"/>
  </si>
  <si>
    <t>宮野様WP</t>
    <rPh sb="0" eb="3">
      <t>ミヤノサマ</t>
    </rPh>
    <phoneticPr fontId="1"/>
  </si>
  <si>
    <t>入金済み</t>
  </si>
  <si>
    <t>240826V-01</t>
    <phoneticPr fontId="1"/>
  </si>
  <si>
    <t>240828AD-01</t>
    <phoneticPr fontId="1"/>
  </si>
  <si>
    <t>240830M-01</t>
    <phoneticPr fontId="1"/>
  </si>
  <si>
    <t>松田ひろみ</t>
    <phoneticPr fontId="1"/>
  </si>
  <si>
    <t>概算</t>
    <rPh sb="0" eb="2">
      <t>ガイサン</t>
    </rPh>
    <phoneticPr fontId="1"/>
  </si>
  <si>
    <t>240909D-01</t>
    <phoneticPr fontId="1"/>
  </si>
  <si>
    <t>-</t>
    <phoneticPr fontId="1"/>
  </si>
  <si>
    <t>200719Z-01</t>
    <phoneticPr fontId="1"/>
  </si>
  <si>
    <t>240912ZZZ-01</t>
    <phoneticPr fontId="1"/>
  </si>
  <si>
    <t>株式会社スウィーク</t>
    <phoneticPr fontId="1"/>
  </si>
  <si>
    <t>-</t>
    <phoneticPr fontId="1"/>
  </si>
  <si>
    <t>請求書</t>
    <rPh sb="0" eb="3">
      <t>セイキュウショ</t>
    </rPh>
    <phoneticPr fontId="1"/>
  </si>
  <si>
    <t>AE</t>
    <phoneticPr fontId="1"/>
  </si>
  <si>
    <t>株式会社アガペーミッション</t>
    <rPh sb="0" eb="4">
      <t>カブシキガイシャ</t>
    </rPh>
    <phoneticPr fontId="1"/>
  </si>
  <si>
    <t>AF</t>
    <phoneticPr fontId="1"/>
  </si>
  <si>
    <t>菅谷真一</t>
    <phoneticPr fontId="1"/>
  </si>
  <si>
    <t>241003AF-01</t>
    <phoneticPr fontId="1"/>
  </si>
  <si>
    <t>プレゼン話し方研究所株式会社</t>
    <phoneticPr fontId="1"/>
  </si>
  <si>
    <t>AG</t>
    <phoneticPr fontId="1"/>
  </si>
  <si>
    <t>株式会社1NuKe</t>
    <phoneticPr fontId="1"/>
  </si>
  <si>
    <t>241004ZZZ-01</t>
    <phoneticPr fontId="1"/>
  </si>
  <si>
    <t>参考</t>
    <rPh sb="0" eb="2">
      <t>サンコウ</t>
    </rPh>
    <phoneticPr fontId="1"/>
  </si>
  <si>
    <t>241005AG-01</t>
    <phoneticPr fontId="1"/>
  </si>
  <si>
    <t>AH</t>
    <phoneticPr fontId="1"/>
  </si>
  <si>
    <t>鈴木様</t>
    <rPh sb="0" eb="3">
      <t>スズキサマ</t>
    </rPh>
    <phoneticPr fontId="1"/>
  </si>
  <si>
    <t>満田愛</t>
    <phoneticPr fontId="1"/>
  </si>
  <si>
    <t>241010R-01</t>
    <phoneticPr fontId="1"/>
  </si>
  <si>
    <t>鈴木理沙様</t>
    <rPh sb="0" eb="2">
      <t>スズキ</t>
    </rPh>
    <rPh sb="2" eb="4">
      <t>リサ</t>
    </rPh>
    <rPh sb="4" eb="5">
      <t>サマ</t>
    </rPh>
    <phoneticPr fontId="1"/>
  </si>
  <si>
    <t>241011AH-01</t>
    <phoneticPr fontId="1"/>
  </si>
  <si>
    <t>請求書</t>
    <rPh sb="0" eb="3">
      <t>セイキュウショ</t>
    </rPh>
    <phoneticPr fontId="1"/>
  </si>
  <si>
    <t>AI</t>
    <phoneticPr fontId="1"/>
  </si>
  <si>
    <t>株式会社プロアクティブ</t>
    <phoneticPr fontId="1"/>
  </si>
  <si>
    <t>241021AI-01</t>
    <phoneticPr fontId="1"/>
  </si>
  <si>
    <t>CitrineWebDesign</t>
    <phoneticPr fontId="1"/>
  </si>
  <si>
    <t>241021Y-01</t>
    <phoneticPr fontId="1"/>
  </si>
  <si>
    <t>FX</t>
    <phoneticPr fontId="1"/>
  </si>
  <si>
    <t>請求書</t>
    <rPh sb="0" eb="3">
      <t>セイキュウショ</t>
    </rPh>
    <phoneticPr fontId="1"/>
  </si>
  <si>
    <t>ステージメソッド塾　西角</t>
    <phoneticPr fontId="1"/>
  </si>
  <si>
    <t>241024AA-01</t>
    <phoneticPr fontId="1"/>
  </si>
  <si>
    <t>ビブリ・ライティング</t>
    <phoneticPr fontId="1"/>
  </si>
  <si>
    <t>241025Z-01</t>
    <phoneticPr fontId="1"/>
  </si>
  <si>
    <t>請求書</t>
    <rPh sb="0" eb="3">
      <t>セイキュウショ</t>
    </rPh>
    <phoneticPr fontId="1"/>
  </si>
  <si>
    <t>合同会社LinNoa</t>
    <phoneticPr fontId="1"/>
  </si>
  <si>
    <t>AJ</t>
    <phoneticPr fontId="1"/>
  </si>
  <si>
    <t>241029AJ-01</t>
    <phoneticPr fontId="1"/>
  </si>
  <si>
    <t>請求書</t>
    <rPh sb="0" eb="3">
      <t>セイキュウショ</t>
    </rPh>
    <phoneticPr fontId="1"/>
  </si>
  <si>
    <t>株式会社ミルトス</t>
    <phoneticPr fontId="1"/>
  </si>
  <si>
    <t>AK</t>
    <phoneticPr fontId="1"/>
  </si>
  <si>
    <t>れおさん</t>
    <phoneticPr fontId="1"/>
  </si>
  <si>
    <t>241031AK-01</t>
    <phoneticPr fontId="1"/>
  </si>
  <si>
    <t>吉澤真美さん:請求書でOK領収書不要</t>
    <rPh sb="7" eb="10">
      <t>セイキュウショ</t>
    </rPh>
    <rPh sb="13" eb="16">
      <t>リョウシュウショ</t>
    </rPh>
    <rPh sb="16" eb="18">
      <t>フヨウ</t>
    </rPh>
    <phoneticPr fontId="1"/>
  </si>
  <si>
    <t>吉野真由美さん:請求書でOK領収書不要</t>
    <phoneticPr fontId="1"/>
  </si>
  <si>
    <t>合同会社LinNoa</t>
    <phoneticPr fontId="1"/>
  </si>
  <si>
    <t>241108AJ-01</t>
    <phoneticPr fontId="1"/>
  </si>
  <si>
    <t>240929D-01</t>
    <phoneticPr fontId="1"/>
  </si>
  <si>
    <t>10月分</t>
    <rPh sb="2" eb="4">
      <t>ガツブン</t>
    </rPh>
    <phoneticPr fontId="1"/>
  </si>
  <si>
    <t>9月分</t>
    <rPh sb="1" eb="3">
      <t>ガツブン</t>
    </rPh>
    <phoneticPr fontId="1"/>
  </si>
  <si>
    <t>241107D-01</t>
    <phoneticPr fontId="1"/>
  </si>
  <si>
    <t>241108D-01</t>
    <phoneticPr fontId="1"/>
  </si>
  <si>
    <t>合同会社LinNoa</t>
    <phoneticPr fontId="1"/>
  </si>
  <si>
    <t>修正</t>
    <rPh sb="0" eb="2">
      <t>シュウセイ</t>
    </rPh>
    <phoneticPr fontId="1"/>
  </si>
  <si>
    <t>241118Y-01</t>
    <phoneticPr fontId="1"/>
  </si>
  <si>
    <t>合同会社ルーチェワークス</t>
    <phoneticPr fontId="1"/>
  </si>
  <si>
    <t>241128O-01</t>
    <phoneticPr fontId="1"/>
  </si>
  <si>
    <t>241127AJ-01</t>
    <phoneticPr fontId="1"/>
  </si>
  <si>
    <t>241128AJ-01</t>
    <phoneticPr fontId="1"/>
  </si>
  <si>
    <t>ビブリ・ライティング</t>
    <phoneticPr fontId="1"/>
  </si>
  <si>
    <t>241202Z-01</t>
    <phoneticPr fontId="1"/>
  </si>
  <si>
    <t>請求書</t>
    <rPh sb="0" eb="3">
      <t>セイキュウショ</t>
    </rPh>
    <phoneticPr fontId="1"/>
  </si>
  <si>
    <t>満田愛</t>
    <phoneticPr fontId="1"/>
  </si>
  <si>
    <t>241203R-01</t>
    <phoneticPr fontId="1"/>
  </si>
  <si>
    <t>241207D-01</t>
    <phoneticPr fontId="1"/>
  </si>
  <si>
    <t>11月分</t>
    <rPh sb="2" eb="4">
      <t>ガツブン</t>
    </rPh>
    <phoneticPr fontId="1"/>
  </si>
  <si>
    <t>気仙沼デザイン株式会社</t>
    <phoneticPr fontId="1"/>
  </si>
  <si>
    <t>AL</t>
    <phoneticPr fontId="1"/>
  </si>
  <si>
    <t>佐々木さん</t>
    <rPh sb="0" eb="3">
      <t>ササキ</t>
    </rPh>
    <phoneticPr fontId="1"/>
  </si>
  <si>
    <t>241207AL-01</t>
    <phoneticPr fontId="1"/>
  </si>
  <si>
    <t>松原工業株式会社</t>
    <phoneticPr fontId="1"/>
  </si>
  <si>
    <t>241210U-01</t>
    <phoneticPr fontId="1"/>
  </si>
  <si>
    <t>12月分で請求</t>
    <rPh sb="2" eb="3">
      <t>ガツ</t>
    </rPh>
    <rPh sb="3" eb="4">
      <t>ブン</t>
    </rPh>
    <rPh sb="5" eb="7">
      <t>セイキュウ</t>
    </rPh>
    <phoneticPr fontId="1"/>
  </si>
  <si>
    <t>202411月分</t>
    <rPh sb="6" eb="8">
      <t>ガツブン</t>
    </rPh>
    <phoneticPr fontId="1"/>
  </si>
  <si>
    <t>241113AJ-03</t>
    <phoneticPr fontId="1"/>
  </si>
  <si>
    <t>別所好子</t>
    <phoneticPr fontId="1"/>
  </si>
  <si>
    <t>241213K-01</t>
    <phoneticPr fontId="1"/>
  </si>
  <si>
    <t>中野公貴</t>
    <phoneticPr fontId="1"/>
  </si>
  <si>
    <t>AM</t>
    <phoneticPr fontId="1"/>
  </si>
  <si>
    <t>241220AM-01</t>
    <phoneticPr fontId="1"/>
  </si>
  <si>
    <t>241224Y-01</t>
    <phoneticPr fontId="1"/>
  </si>
  <si>
    <t>241227D-01</t>
    <phoneticPr fontId="1"/>
  </si>
  <si>
    <t>241227R-01</t>
    <phoneticPr fontId="1"/>
  </si>
  <si>
    <t>202412月分</t>
    <rPh sb="6" eb="8">
      <t>ガツブン</t>
    </rPh>
    <phoneticPr fontId="1"/>
  </si>
  <si>
    <t>241230AG-01</t>
    <phoneticPr fontId="1"/>
  </si>
  <si>
    <t>250106AJ-01</t>
    <phoneticPr fontId="1"/>
  </si>
  <si>
    <t>250110Y-01</t>
    <phoneticPr fontId="1"/>
  </si>
  <si>
    <t>フィアナ様1P追加</t>
    <rPh sb="4" eb="5">
      <t>サマ</t>
    </rPh>
    <rPh sb="7" eb="9">
      <t>ツイカ</t>
    </rPh>
    <phoneticPr fontId="1"/>
  </si>
  <si>
    <t>250115ZZZ-01</t>
    <phoneticPr fontId="1"/>
  </si>
  <si>
    <t>安里尚悟</t>
    <phoneticPr fontId="1"/>
  </si>
  <si>
    <t>請求書</t>
    <rPh sb="0" eb="3">
      <t>セイキュウショ</t>
    </rPh>
    <phoneticPr fontId="1"/>
  </si>
  <si>
    <t>250117AG-01</t>
    <phoneticPr fontId="1"/>
  </si>
  <si>
    <t>250123ZZZ-01</t>
    <phoneticPr fontId="1"/>
  </si>
  <si>
    <t>高田光紀</t>
    <phoneticPr fontId="1"/>
  </si>
  <si>
    <t>250128D-01</t>
    <phoneticPr fontId="1"/>
  </si>
  <si>
    <t>UPP DESIGN STUDIO</t>
    <phoneticPr fontId="1"/>
  </si>
  <si>
    <t>うららさん</t>
    <phoneticPr fontId="1"/>
  </si>
  <si>
    <t>AN</t>
    <phoneticPr fontId="1"/>
  </si>
  <si>
    <t>250128AN-01</t>
    <phoneticPr fontId="1"/>
  </si>
  <si>
    <t>250203L-01</t>
    <phoneticPr fontId="1"/>
  </si>
  <si>
    <t>小館里依</t>
    <phoneticPr fontId="1"/>
  </si>
  <si>
    <t>250123G-02</t>
    <phoneticPr fontId="1"/>
  </si>
  <si>
    <t>250203Y-01</t>
    <phoneticPr fontId="1"/>
  </si>
  <si>
    <t>250203K-01</t>
    <phoneticPr fontId="1"/>
  </si>
  <si>
    <t>AO</t>
    <phoneticPr fontId="1"/>
  </si>
  <si>
    <t>巻き爪じゅん</t>
    <phoneticPr fontId="1"/>
  </si>
  <si>
    <t>250206AO-01</t>
    <phoneticPr fontId="1"/>
  </si>
  <si>
    <t>らんこさん</t>
    <phoneticPr fontId="1"/>
  </si>
  <si>
    <t>ranco desgin 小田蘭子</t>
    <phoneticPr fontId="1"/>
  </si>
  <si>
    <t>AP</t>
    <phoneticPr fontId="1"/>
  </si>
  <si>
    <t>請求書</t>
    <rPh sb="0" eb="3">
      <t>セイキュウショ</t>
    </rPh>
    <phoneticPr fontId="1"/>
  </si>
  <si>
    <t>梶田谷浩美</t>
    <phoneticPr fontId="1"/>
  </si>
  <si>
    <t>ひろみさん</t>
    <phoneticPr fontId="1"/>
  </si>
  <si>
    <t>AQ</t>
    <phoneticPr fontId="1"/>
  </si>
  <si>
    <t>250212AQ-01</t>
    <phoneticPr fontId="1"/>
  </si>
  <si>
    <t>250212AP-02</t>
    <phoneticPr fontId="1"/>
  </si>
  <si>
    <t>いしいりなさん</t>
    <phoneticPr fontId="1"/>
  </si>
  <si>
    <t>シトリンデザイン 石井梨奈</t>
    <phoneticPr fontId="1"/>
  </si>
  <si>
    <t>AR</t>
    <phoneticPr fontId="1"/>
  </si>
  <si>
    <t>250214AR-01</t>
    <phoneticPr fontId="1"/>
  </si>
  <si>
    <t>武藤隆志</t>
    <phoneticPr fontId="1"/>
  </si>
  <si>
    <t>250218I-01</t>
    <phoneticPr fontId="1"/>
  </si>
  <si>
    <t>202501分</t>
    <rPh sb="6" eb="7">
      <t>ブン</t>
    </rPh>
    <phoneticPr fontId="1"/>
  </si>
  <si>
    <t>250219AJ-01</t>
    <phoneticPr fontId="1"/>
  </si>
  <si>
    <t>250219K-01</t>
    <phoneticPr fontId="1"/>
  </si>
  <si>
    <t>250301Y-01</t>
    <phoneticPr fontId="1"/>
  </si>
  <si>
    <t>250306Y-01</t>
    <phoneticPr fontId="1"/>
  </si>
  <si>
    <t>CSS</t>
    <phoneticPr fontId="1"/>
  </si>
  <si>
    <t>250311AQ-01</t>
    <phoneticPr fontId="1"/>
  </si>
  <si>
    <t>RSクルージング</t>
    <phoneticPr fontId="1"/>
  </si>
  <si>
    <t>2025/2月分</t>
    <rPh sb="6" eb="8">
      <t>ガツブン</t>
    </rPh>
    <phoneticPr fontId="1"/>
  </si>
  <si>
    <t>250311D-01</t>
    <phoneticPr fontId="1"/>
  </si>
  <si>
    <t>250317U-01</t>
    <phoneticPr fontId="1"/>
  </si>
  <si>
    <t>202502分</t>
    <rPh sb="6" eb="7">
      <t>ブン</t>
    </rPh>
    <phoneticPr fontId="1"/>
  </si>
  <si>
    <t>250317AJ-01</t>
    <phoneticPr fontId="1"/>
  </si>
  <si>
    <t>250322AQ-01</t>
    <phoneticPr fontId="1"/>
  </si>
  <si>
    <t>おゆりさん</t>
    <phoneticPr fontId="1"/>
  </si>
  <si>
    <t>ビコー様コーポレート</t>
    <rPh sb="3" eb="4">
      <t>サマ</t>
    </rPh>
    <phoneticPr fontId="1"/>
  </si>
  <si>
    <t>250321O-01</t>
    <phoneticPr fontId="1"/>
  </si>
  <si>
    <t>西角様修正</t>
    <rPh sb="0" eb="2">
      <t>ニシカド</t>
    </rPh>
    <rPh sb="2" eb="3">
      <t>サマ</t>
    </rPh>
    <rPh sb="3" eb="5">
      <t>シュウセイ</t>
    </rPh>
    <phoneticPr fontId="1"/>
  </si>
  <si>
    <t>250326D-01</t>
    <phoneticPr fontId="1"/>
  </si>
  <si>
    <t>2025/3月分</t>
    <rPh sb="6" eb="8">
      <t>ガツブン</t>
    </rPh>
    <phoneticPr fontId="1"/>
  </si>
  <si>
    <t>-</t>
    <phoneticPr fontId="1"/>
  </si>
  <si>
    <t>未請求</t>
    <rPh sb="0" eb="3">
      <t>ミセイキュウ</t>
    </rPh>
    <phoneticPr fontId="1"/>
  </si>
  <si>
    <t>250227AA-01</t>
    <phoneticPr fontId="1"/>
  </si>
  <si>
    <t>ステージメソッド塾　西角</t>
    <phoneticPr fontId="1"/>
  </si>
  <si>
    <t>仲村さんLP追加修正</t>
    <rPh sb="0" eb="2">
      <t>ナカムラ</t>
    </rPh>
    <rPh sb="6" eb="8">
      <t>ツイカ</t>
    </rPh>
    <rPh sb="8" eb="10">
      <t>シュウセイ</t>
    </rPh>
    <phoneticPr fontId="1"/>
  </si>
  <si>
    <t>AS</t>
    <phoneticPr fontId="1"/>
  </si>
  <si>
    <t>株式会社電脳マーケット</t>
    <phoneticPr fontId="1"/>
  </si>
  <si>
    <t>250330AS-01</t>
    <phoneticPr fontId="1"/>
  </si>
  <si>
    <t>250409ZZZ-01</t>
    <phoneticPr fontId="1"/>
  </si>
  <si>
    <t>奥田晏子</t>
    <phoneticPr fontId="1"/>
  </si>
  <si>
    <t>見積り</t>
    <rPh sb="0" eb="2">
      <t>ミツモ</t>
    </rPh>
    <phoneticPr fontId="1"/>
  </si>
  <si>
    <t>250412AO-01</t>
    <phoneticPr fontId="1"/>
  </si>
  <si>
    <t>見積り</t>
    <phoneticPr fontId="1"/>
  </si>
  <si>
    <t>250411AO-02</t>
    <phoneticPr fontId="1"/>
  </si>
  <si>
    <t>-</t>
    <phoneticPr fontId="1"/>
  </si>
  <si>
    <t>リディさん</t>
    <phoneticPr fontId="1"/>
  </si>
  <si>
    <t>株式会社たすける</t>
    <rPh sb="0" eb="4">
      <t>カブシキガイシャ</t>
    </rPh>
    <phoneticPr fontId="1"/>
  </si>
  <si>
    <t>AT</t>
    <phoneticPr fontId="1"/>
  </si>
  <si>
    <t>250426AT-01</t>
    <phoneticPr fontId="1"/>
  </si>
  <si>
    <t>見積り</t>
    <rPh sb="0" eb="2">
      <t>ミツモ</t>
    </rPh>
    <phoneticPr fontId="1"/>
  </si>
  <si>
    <t>2025/4月分</t>
    <rPh sb="6" eb="7">
      <t>ガツ</t>
    </rPh>
    <rPh sb="7" eb="8">
      <t>ブン</t>
    </rPh>
    <phoneticPr fontId="1"/>
  </si>
  <si>
    <t>250426D-01</t>
    <phoneticPr fontId="1"/>
  </si>
  <si>
    <t>250502E-01</t>
    <phoneticPr fontId="1"/>
  </si>
  <si>
    <t>石原弘行</t>
    <phoneticPr fontId="1"/>
  </si>
  <si>
    <t>見積り</t>
    <rPh sb="0" eb="2">
      <t>ミツモ</t>
    </rPh>
    <phoneticPr fontId="1"/>
  </si>
  <si>
    <t>NPO法人日本コンチネンス協会</t>
    <rPh sb="3" eb="5">
      <t>ホウジン</t>
    </rPh>
    <rPh sb="5" eb="7">
      <t>ニホン</t>
    </rPh>
    <rPh sb="13" eb="15">
      <t>キョウカイ</t>
    </rPh>
    <phoneticPr fontId="1"/>
  </si>
  <si>
    <t>250506ZZZ-01</t>
    <phoneticPr fontId="1"/>
  </si>
  <si>
    <t>CitrineWebDesign</t>
    <phoneticPr fontId="1"/>
  </si>
  <si>
    <t>250507Y-01</t>
    <phoneticPr fontId="1"/>
  </si>
  <si>
    <t>見積り</t>
    <rPh sb="0" eb="2">
      <t>ミツモ</t>
    </rPh>
    <phoneticPr fontId="1"/>
  </si>
  <si>
    <t>いちご一縁様</t>
    <rPh sb="3" eb="4">
      <t>イチ</t>
    </rPh>
    <rPh sb="4" eb="5">
      <t>エン</t>
    </rPh>
    <rPh sb="5" eb="6">
      <t>サマ</t>
    </rPh>
    <phoneticPr fontId="1"/>
  </si>
  <si>
    <t>250511AQ-01</t>
    <phoneticPr fontId="1"/>
  </si>
  <si>
    <t>250512AJ-01</t>
    <phoneticPr fontId="1"/>
  </si>
  <si>
    <t>25/3,4月分</t>
    <rPh sb="6" eb="7">
      <t>ガツ</t>
    </rPh>
    <rPh sb="7" eb="8">
      <t>ブン</t>
    </rPh>
    <phoneticPr fontId="1"/>
  </si>
  <si>
    <t>プレゼン話し方研究所株式会社</t>
    <phoneticPr fontId="1"/>
  </si>
  <si>
    <t>250512AG-01</t>
    <phoneticPr fontId="1"/>
  </si>
  <si>
    <t>請求書</t>
  </si>
  <si>
    <t>-</t>
    <phoneticPr fontId="1"/>
  </si>
  <si>
    <t>250322O-03</t>
    <phoneticPr fontId="1"/>
  </si>
  <si>
    <t>CitrineWebDesign</t>
    <phoneticPr fontId="1"/>
  </si>
  <si>
    <t>250519Y-01</t>
    <phoneticPr fontId="1"/>
  </si>
  <si>
    <t>reboot様トラブル</t>
    <rPh sb="6" eb="7">
      <t>サマ</t>
    </rPh>
    <phoneticPr fontId="1"/>
  </si>
  <si>
    <t>AU</t>
    <phoneticPr fontId="1"/>
  </si>
  <si>
    <t>AV</t>
    <phoneticPr fontId="1"/>
  </si>
  <si>
    <t>富田美穂</t>
    <phoneticPr fontId="1"/>
  </si>
  <si>
    <t>株式会社COMPASS</t>
    <rPh sb="0" eb="4">
      <t>カブシキガイシャ</t>
    </rPh>
    <phoneticPr fontId="1"/>
  </si>
  <si>
    <t>渡邉聡さん</t>
    <rPh sb="0" eb="2">
      <t>ワタナベ</t>
    </rPh>
    <rPh sb="2" eb="3">
      <t>アキラ</t>
    </rPh>
    <phoneticPr fontId="1"/>
  </si>
  <si>
    <t>250522AU-01</t>
    <phoneticPr fontId="1"/>
  </si>
  <si>
    <t>250522AV-01</t>
    <phoneticPr fontId="1"/>
  </si>
  <si>
    <t>250403L-02</t>
    <phoneticPr fontId="1"/>
  </si>
  <si>
    <t>小館里依</t>
    <phoneticPr fontId="1"/>
  </si>
  <si>
    <t>ポスカアート教材</t>
    <phoneticPr fontId="1"/>
  </si>
  <si>
    <t>領収書</t>
  </si>
  <si>
    <t>250606AO-01</t>
    <phoneticPr fontId="1"/>
  </si>
  <si>
    <t>車買取追加分</t>
    <rPh sb="0" eb="3">
      <t>クルマカイトリ</t>
    </rPh>
    <rPh sb="3" eb="6">
      <t>ツイカブン</t>
    </rPh>
    <phoneticPr fontId="1"/>
  </si>
  <si>
    <t>250607AU-01</t>
    <phoneticPr fontId="1"/>
  </si>
  <si>
    <t>250611AJ-01</t>
    <phoneticPr fontId="1"/>
  </si>
  <si>
    <t>5月分</t>
    <rPh sb="1" eb="2">
      <t>ガツ</t>
    </rPh>
    <rPh sb="2" eb="3">
      <t>ブン</t>
    </rPh>
    <phoneticPr fontId="1"/>
  </si>
  <si>
    <t>小館里依</t>
    <phoneticPr fontId="1"/>
  </si>
  <si>
    <t>250613L-01</t>
    <phoneticPr fontId="1"/>
  </si>
  <si>
    <t>見積り</t>
  </si>
  <si>
    <t>250619G-01</t>
    <phoneticPr fontId="1"/>
  </si>
  <si>
    <t>株式会社ThankMarketing</t>
    <phoneticPr fontId="1"/>
  </si>
  <si>
    <t>友重さん</t>
    <rPh sb="0" eb="2">
      <t>トモシゲ</t>
    </rPh>
    <phoneticPr fontId="1"/>
  </si>
  <si>
    <t>AW</t>
    <phoneticPr fontId="1"/>
  </si>
  <si>
    <t>250619AW-01</t>
    <phoneticPr fontId="1"/>
  </si>
  <si>
    <t>7月入金</t>
    <rPh sb="1" eb="2">
      <t>ガツ</t>
    </rPh>
    <rPh sb="2" eb="4">
      <t>ニュウキン</t>
    </rPh>
    <phoneticPr fontId="1"/>
  </si>
  <si>
    <t>250620U-01</t>
    <phoneticPr fontId="1"/>
  </si>
  <si>
    <t>250624AJ-01</t>
    <phoneticPr fontId="1"/>
  </si>
  <si>
    <t>ブレイクパーキング</t>
    <phoneticPr fontId="1"/>
  </si>
  <si>
    <t>250701Y-01</t>
    <phoneticPr fontId="1"/>
  </si>
  <si>
    <t>フィアナ様商品追加</t>
    <rPh sb="4" eb="5">
      <t>サマ</t>
    </rPh>
    <rPh sb="5" eb="7">
      <t>ショウヒン</t>
    </rPh>
    <rPh sb="7" eb="9">
      <t>ツイカ</t>
    </rPh>
    <phoneticPr fontId="1"/>
  </si>
  <si>
    <t>5,6月分</t>
    <rPh sb="3" eb="5">
      <t>ガツブン</t>
    </rPh>
    <phoneticPr fontId="1"/>
  </si>
  <si>
    <t>250721AV-01</t>
    <phoneticPr fontId="1"/>
  </si>
  <si>
    <t>250710AJ-01</t>
    <phoneticPr fontId="1"/>
  </si>
  <si>
    <t>6月分</t>
    <rPh sb="1" eb="3">
      <t>ガツブン</t>
    </rPh>
    <phoneticPr fontId="1"/>
  </si>
  <si>
    <t>請求書</t>
    <phoneticPr fontId="1"/>
  </si>
  <si>
    <t>250801Y-01</t>
    <phoneticPr fontId="1"/>
  </si>
  <si>
    <t>250812Y-01</t>
    <phoneticPr fontId="1"/>
  </si>
  <si>
    <t>フィアナ様サイト複製</t>
    <rPh sb="4" eb="5">
      <t>サマ</t>
    </rPh>
    <rPh sb="8" eb="10">
      <t>フクセイ</t>
    </rPh>
    <phoneticPr fontId="1"/>
  </si>
  <si>
    <t>UPP DESIGN STUDIO</t>
    <phoneticPr fontId="1"/>
  </si>
  <si>
    <t>250817AN-01</t>
    <phoneticPr fontId="1"/>
  </si>
  <si>
    <t>MechaLIVE様LP</t>
    <rPh sb="9" eb="10">
      <t>サマ</t>
    </rPh>
    <phoneticPr fontId="1"/>
  </si>
  <si>
    <t>4月分</t>
    <rPh sb="1" eb="3">
      <t>ガツブン</t>
    </rPh>
    <phoneticPr fontId="1"/>
  </si>
  <si>
    <t>250821AJ-01</t>
    <phoneticPr fontId="1"/>
  </si>
  <si>
    <t>藤井真澄</t>
    <phoneticPr fontId="1"/>
  </si>
  <si>
    <t>250825G-01</t>
    <phoneticPr fontId="1"/>
  </si>
  <si>
    <t>250830L-01</t>
    <phoneticPr fontId="1"/>
  </si>
  <si>
    <t>AX</t>
    <phoneticPr fontId="1"/>
  </si>
  <si>
    <t>徳田光則さん</t>
    <phoneticPr fontId="1"/>
  </si>
  <si>
    <t>満田愛</t>
    <phoneticPr fontId="1"/>
  </si>
  <si>
    <t>250911R-01</t>
    <phoneticPr fontId="1"/>
  </si>
  <si>
    <t>250919AJ-01</t>
    <phoneticPr fontId="1"/>
  </si>
  <si>
    <t>250923L-01</t>
    <phoneticPr fontId="1"/>
  </si>
  <si>
    <t>株式会社たすける</t>
    <phoneticPr fontId="1"/>
  </si>
  <si>
    <t>251006AT-01</t>
    <phoneticPr fontId="1"/>
  </si>
  <si>
    <t>株式会社ココハウス</t>
    <rPh sb="0" eb="4">
      <t>カブシキガイシャ</t>
    </rPh>
    <phoneticPr fontId="1"/>
  </si>
  <si>
    <t>250903AX-03</t>
    <phoneticPr fontId="1"/>
  </si>
  <si>
    <t>株式会社ココハウス</t>
    <rPh sb="0" eb="4">
      <t>カブシキガイシャ</t>
    </rPh>
    <phoneticPr fontId="1"/>
  </si>
  <si>
    <t>プレゼン話し方研究所株式会社</t>
    <phoneticPr fontId="1"/>
  </si>
  <si>
    <t>251021AG-01</t>
    <phoneticPr fontId="1"/>
  </si>
  <si>
    <t>清水雄大</t>
    <phoneticPr fontId="1"/>
  </si>
  <si>
    <t>AY</t>
    <phoneticPr fontId="1"/>
  </si>
  <si>
    <t>251021AY-01</t>
    <phoneticPr fontId="1"/>
  </si>
  <si>
    <t>UPP DESIGN STUDIO</t>
    <phoneticPr fontId="1"/>
  </si>
  <si>
    <t>251030AN-01</t>
    <phoneticPr fontId="1"/>
  </si>
  <si>
    <t>合同会社LinNoa</t>
    <phoneticPr fontId="1"/>
  </si>
  <si>
    <t>251031AJ-01</t>
    <phoneticPr fontId="1"/>
  </si>
  <si>
    <t>251006AJ-01</t>
    <phoneticPr fontId="1"/>
  </si>
  <si>
    <t>Honu Creation 原田まどか</t>
    <phoneticPr fontId="1"/>
  </si>
  <si>
    <t>AZ</t>
    <phoneticPr fontId="1"/>
  </si>
  <si>
    <t>251106AZ-01</t>
    <phoneticPr fontId="1"/>
  </si>
  <si>
    <t>CitrineWebDesign</t>
    <phoneticPr fontId="1"/>
  </si>
  <si>
    <t>満田愛</t>
    <phoneticPr fontId="1"/>
  </si>
  <si>
    <t>251114R-01</t>
    <phoneticPr fontId="1"/>
  </si>
  <si>
    <t>2025/5月分</t>
    <rPh sb="6" eb="8">
      <t>ガツブン</t>
    </rPh>
    <phoneticPr fontId="1"/>
  </si>
  <si>
    <t>2025/6月分</t>
    <rPh sb="6" eb="8">
      <t>ガツブン</t>
    </rPh>
    <phoneticPr fontId="1"/>
  </si>
  <si>
    <t>2025/7月分</t>
    <rPh sb="6" eb="8">
      <t>ガツブン</t>
    </rPh>
    <phoneticPr fontId="1"/>
  </si>
  <si>
    <t>2025/8月分</t>
    <rPh sb="6" eb="8">
      <t>ガツブン</t>
    </rPh>
    <phoneticPr fontId="1"/>
  </si>
  <si>
    <t>2025/9月分</t>
    <rPh sb="6" eb="8">
      <t>ガツブン</t>
    </rPh>
    <phoneticPr fontId="1"/>
  </si>
  <si>
    <t>2025/10月分</t>
    <rPh sb="7" eb="9">
      <t>ガツブン</t>
    </rPh>
    <phoneticPr fontId="1"/>
  </si>
  <si>
    <t>2025/11月分</t>
    <rPh sb="7" eb="9">
      <t>ガツブン</t>
    </rPh>
    <phoneticPr fontId="1"/>
  </si>
  <si>
    <t>250520D-01</t>
    <phoneticPr fontId="1"/>
  </si>
  <si>
    <t>250620D-01</t>
    <phoneticPr fontId="1"/>
  </si>
  <si>
    <t>250720D-01</t>
    <phoneticPr fontId="1"/>
  </si>
  <si>
    <t>250820D-01</t>
    <phoneticPr fontId="1"/>
  </si>
  <si>
    <t>250920D-01</t>
    <phoneticPr fontId="1"/>
  </si>
  <si>
    <t>251020D-01</t>
    <phoneticPr fontId="1"/>
  </si>
  <si>
    <t>251120D-01</t>
    <phoneticPr fontId="1"/>
  </si>
  <si>
    <t>251117Y-01</t>
    <phoneticPr fontId="1"/>
  </si>
  <si>
    <t>7月分</t>
    <rPh sb="1" eb="2">
      <t>ガツ</t>
    </rPh>
    <rPh sb="2" eb="3">
      <t>ブン</t>
    </rPh>
    <phoneticPr fontId="1"/>
  </si>
  <si>
    <t>8月分</t>
    <rPh sb="1" eb="2">
      <t>ガツ</t>
    </rPh>
    <rPh sb="2" eb="3">
      <t>ブン</t>
    </rPh>
    <phoneticPr fontId="1"/>
  </si>
  <si>
    <t>250805AV-01</t>
    <phoneticPr fontId="1"/>
  </si>
  <si>
    <t>250905AV-01</t>
    <phoneticPr fontId="1"/>
  </si>
  <si>
    <t>251005AV-01</t>
    <phoneticPr fontId="1"/>
  </si>
  <si>
    <t>251105AV-01</t>
    <phoneticPr fontId="1"/>
  </si>
  <si>
    <t>251126G-01</t>
    <phoneticPr fontId="1"/>
  </si>
  <si>
    <t>藤井真澄</t>
    <phoneticPr fontId="1"/>
  </si>
  <si>
    <t>Famさまクリスマス</t>
    <phoneticPr fontId="1"/>
  </si>
  <si>
    <t>251010AV-01</t>
    <phoneticPr fontId="1"/>
  </si>
  <si>
    <t>251010AV-01,251011AV-01に統合</t>
    <rPh sb="24" eb="26">
      <t>トウゴウ</t>
    </rPh>
    <phoneticPr fontId="1"/>
  </si>
  <si>
    <t>251011AV-01</t>
    <phoneticPr fontId="1"/>
  </si>
  <si>
    <t>中道麻智子</t>
    <phoneticPr fontId="1"/>
  </si>
  <si>
    <t>BA</t>
    <phoneticPr fontId="1"/>
  </si>
  <si>
    <t>251201BA-01</t>
    <phoneticPr fontId="1"/>
  </si>
  <si>
    <t>富田美穂</t>
    <phoneticPr fontId="1"/>
  </si>
  <si>
    <t>251208AU-01</t>
    <phoneticPr fontId="1"/>
  </si>
  <si>
    <t>marin</t>
    <phoneticPr fontId="1"/>
  </si>
  <si>
    <t>西田智子さん</t>
    <rPh sb="0" eb="2">
      <t>ニシダ</t>
    </rPh>
    <rPh sb="2" eb="4">
      <t>トモコ</t>
    </rPh>
    <phoneticPr fontId="1"/>
  </si>
  <si>
    <t>BB</t>
    <phoneticPr fontId="1"/>
  </si>
  <si>
    <t>251208BB-01</t>
    <phoneticPr fontId="1"/>
  </si>
  <si>
    <t>251217AJ-01</t>
    <phoneticPr fontId="1"/>
  </si>
  <si>
    <t>古野アカネ</t>
    <phoneticPr fontId="1"/>
  </si>
  <si>
    <t>BC</t>
    <phoneticPr fontId="1"/>
  </si>
  <si>
    <t>251223BC-01</t>
    <phoneticPr fontId="1"/>
  </si>
  <si>
    <t>診断LP</t>
    <rPh sb="0" eb="2">
      <t>シンダン</t>
    </rPh>
    <phoneticPr fontId="1"/>
  </si>
  <si>
    <t>UPP DESIGN STUDIO</t>
    <phoneticPr fontId="1"/>
  </si>
  <si>
    <t>251227AN-01</t>
    <phoneticPr fontId="1"/>
  </si>
  <si>
    <t>株式会社ランドプランニング</t>
    <phoneticPr fontId="1"/>
  </si>
  <si>
    <t>2025/12月分</t>
    <rPh sb="7" eb="8">
      <t>ガツ</t>
    </rPh>
    <rPh sb="8" eb="9">
      <t>ブン</t>
    </rPh>
    <phoneticPr fontId="1"/>
  </si>
  <si>
    <t>プレゼン話し方研究所株式会社</t>
    <phoneticPr fontId="1"/>
  </si>
  <si>
    <t>251231AG-01</t>
    <phoneticPr fontId="1"/>
  </si>
  <si>
    <t>7,8月分①</t>
    <phoneticPr fontId="1"/>
  </si>
  <si>
    <t>7,8月分②</t>
    <phoneticPr fontId="1"/>
  </si>
  <si>
    <t>9月分</t>
    <phoneticPr fontId="1"/>
  </si>
  <si>
    <t>10月分</t>
    <phoneticPr fontId="1"/>
  </si>
  <si>
    <t>株式会社COMPASS</t>
    <phoneticPr fontId="1"/>
  </si>
  <si>
    <t>251225D-01</t>
    <phoneticPr fontId="1"/>
  </si>
  <si>
    <t>サーバー整理</t>
    <rPh sb="4" eb="6">
      <t>セイリ</t>
    </rPh>
    <phoneticPr fontId="1"/>
  </si>
  <si>
    <t>260104AF-01</t>
    <phoneticPr fontId="1"/>
  </si>
  <si>
    <t>バリデーションメッセージ変更</t>
    <rPh sb="12" eb="14">
      <t>ヘンコウ</t>
    </rPh>
    <phoneticPr fontId="1"/>
  </si>
  <si>
    <t>260104AO-01</t>
    <phoneticPr fontId="1"/>
  </si>
  <si>
    <t>メール届かない対応</t>
    <rPh sb="3" eb="4">
      <t>トド</t>
    </rPh>
    <rPh sb="7" eb="9">
      <t>タイオウ</t>
    </rPh>
    <phoneticPr fontId="1"/>
  </si>
  <si>
    <t>株式会社ARUKU COMPANY</t>
    <phoneticPr fontId="1"/>
  </si>
  <si>
    <t>株式会社ARUKU COMPANY</t>
    <phoneticPr fontId="1"/>
  </si>
  <si>
    <t>Yis株式会社</t>
    <rPh sb="3" eb="7">
      <t>カブシキガイシャ</t>
    </rPh>
    <phoneticPr fontId="1"/>
  </si>
  <si>
    <t>BD</t>
    <phoneticPr fontId="1"/>
  </si>
  <si>
    <t>Yis株式会社</t>
    <phoneticPr fontId="1"/>
  </si>
  <si>
    <t>260109BD-01</t>
    <phoneticPr fontId="1"/>
  </si>
  <si>
    <t>BE</t>
    <phoneticPr fontId="1"/>
  </si>
  <si>
    <t>260113BE-01</t>
    <phoneticPr fontId="1"/>
  </si>
  <si>
    <t>藤井真澄</t>
    <phoneticPr fontId="1"/>
  </si>
  <si>
    <t>260113G-01</t>
    <phoneticPr fontId="1"/>
  </si>
  <si>
    <t>vibes様LP</t>
    <rPh sb="5" eb="6">
      <t>サマ</t>
    </rPh>
    <phoneticPr fontId="1"/>
  </si>
  <si>
    <t>お片付けLP</t>
    <rPh sb="1" eb="3">
      <t>カタヅ</t>
    </rPh>
    <phoneticPr fontId="1"/>
  </si>
  <si>
    <t>山本夏紀(やんも)さん</t>
    <phoneticPr fontId="1"/>
  </si>
  <si>
    <t>合同会社yanmo design works</t>
    <phoneticPr fontId="1"/>
  </si>
  <si>
    <t>marin</t>
    <phoneticPr fontId="1"/>
  </si>
  <si>
    <t>260119BB-01</t>
    <phoneticPr fontId="1"/>
  </si>
  <si>
    <t>260105AV-01</t>
    <phoneticPr fontId="1"/>
  </si>
  <si>
    <t>11月分</t>
    <rPh sb="2" eb="4">
      <t>ガツブン</t>
    </rPh>
    <phoneticPr fontId="1"/>
  </si>
  <si>
    <t>260123AV-01</t>
    <phoneticPr fontId="1"/>
  </si>
  <si>
    <t>12月分</t>
    <rPh sb="2" eb="3">
      <t>ガツ</t>
    </rPh>
    <rPh sb="3" eb="4">
      <t>ブン</t>
    </rPh>
    <phoneticPr fontId="1"/>
  </si>
  <si>
    <t>株式会社デジタルゴリラ</t>
    <phoneticPr fontId="1"/>
  </si>
  <si>
    <t>BF</t>
    <phoneticPr fontId="1"/>
  </si>
  <si>
    <t>260126BF-01</t>
    <phoneticPr fontId="1"/>
  </si>
  <si>
    <t>交通費</t>
    <rPh sb="0" eb="3">
      <t>コウツウヒ</t>
    </rPh>
    <phoneticPr fontId="1"/>
  </si>
  <si>
    <t>260113AJ-01</t>
    <phoneticPr fontId="1"/>
  </si>
  <si>
    <t>小館里依</t>
    <phoneticPr fontId="1"/>
  </si>
  <si>
    <t>260205L-01</t>
    <phoneticPr fontId="1"/>
  </si>
  <si>
    <t>合同会社LinNoa</t>
    <phoneticPr fontId="1"/>
  </si>
  <si>
    <t>260217AJ-01</t>
    <phoneticPr fontId="1"/>
  </si>
  <si>
    <t>260220L-01</t>
    <phoneticPr fontId="1"/>
  </si>
  <si>
    <t>260120D-01</t>
    <phoneticPr fontId="1"/>
  </si>
  <si>
    <t>260220D-01</t>
    <phoneticPr fontId="1"/>
  </si>
  <si>
    <t>株式会社アマテラス</t>
    <phoneticPr fontId="1"/>
  </si>
  <si>
    <t>しんいちさん(菅谷真一):領収書不要</t>
    <rPh sb="13" eb="15">
      <t>リョウシュウ</t>
    </rPh>
    <rPh sb="15" eb="16">
      <t>ショ</t>
    </rPh>
    <rPh sb="16" eb="18">
      <t>フヨウ</t>
    </rPh>
    <phoneticPr fontId="1"/>
  </si>
  <si>
    <t>領収書不要</t>
    <rPh sb="0" eb="3">
      <t>リョウシュウショ</t>
    </rPh>
    <rPh sb="3" eb="5">
      <t>フヨウ</t>
    </rPh>
    <phoneticPr fontId="1"/>
  </si>
  <si>
    <t>260304L-01</t>
    <phoneticPr fontId="1"/>
  </si>
  <si>
    <t>260305BB-01</t>
    <phoneticPr fontId="1"/>
  </si>
  <si>
    <t>松原工業株式会社</t>
    <phoneticPr fontId="1"/>
  </si>
  <si>
    <t>260305U-01</t>
    <phoneticPr fontId="1"/>
  </si>
  <si>
    <t>260313AJ-01</t>
    <phoneticPr fontId="1"/>
  </si>
  <si>
    <t>合同会社yanmo design works</t>
    <phoneticPr fontId="1"/>
  </si>
  <si>
    <t>260324BE-01</t>
    <phoneticPr fontId="1"/>
  </si>
  <si>
    <t>協力値引率</t>
    <rPh sb="0" eb="2">
      <t>キョウリョク</t>
    </rPh>
    <rPh sb="2" eb="5">
      <t>ネビキリツ</t>
    </rPh>
    <phoneticPr fontId="1"/>
  </si>
  <si>
    <t>代表/担当者</t>
    <rPh sb="0" eb="2">
      <t>ダイヒョウ</t>
    </rPh>
    <rPh sb="3" eb="6">
      <t>タントウシャ</t>
    </rPh>
    <phoneticPr fontId="1"/>
  </si>
  <si>
    <t>メモ</t>
    <phoneticPr fontId="1"/>
  </si>
  <si>
    <t>会社名/屋号</t>
    <rPh sb="0" eb="3">
      <t>カイシャメイ</t>
    </rPh>
    <rPh sb="4" eb="6">
      <t>ヤゴウ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</si>
</sst>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yyyy\-mm\-dd;@"/>
    <numFmt numFmtId="177" formatCode="[$¥-411]#,##0_);[Red]\([$¥-411]#,##0\)"/>
  </numFmts>
  <fonts count="4" x14ac:knownFonts="1"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b/>
      <sz val="11"/>
      <color theme="1"/>
      <name val="ＭＳ ゴシック"/>
      <family val="3"/>
      <charset val="128"/>
    </font>
    <font>
      <sz val="11"/>
      <color theme="1"/>
      <name val="ＭＳ 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176" fontId="0" fillId="0" borderId="0" xfId="0" applyNumberFormat="1">
      <alignment vertical="center"/>
    </xf>
    <xf numFmtId="5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5" fontId="0" fillId="0" borderId="1" xfId="0" applyNumberFormat="1" applyBorder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5" fontId="2" fillId="2" borderId="1" xfId="0" applyNumberFormat="1" applyFont="1" applyFill="1" applyBorder="1">
      <alignment vertical="center"/>
    </xf>
    <xf numFmtId="0" fontId="0" fillId="0" borderId="1" xfId="0" quotePrefix="1" applyBorder="1">
      <alignment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5" fontId="0" fillId="3" borderId="1" xfId="0" applyNumberFormat="1" applyFill="1" applyBorder="1">
      <alignment vertical="center"/>
    </xf>
    <xf numFmtId="0" fontId="0" fillId="0" borderId="3" xfId="0" applyBorder="1">
      <alignment vertical="center"/>
    </xf>
    <xf numFmtId="177" fontId="0" fillId="0" borderId="0" xfId="1" applyNumberFormat="1" applyFont="1">
      <alignment vertical="center"/>
    </xf>
    <xf numFmtId="177" fontId="0" fillId="0" borderId="0" xfId="0" applyNumberFormat="1">
      <alignment vertical="center"/>
    </xf>
    <xf numFmtId="0" fontId="0" fillId="4" borderId="1" xfId="0" applyFill="1" applyBorder="1">
      <alignment vertical="center"/>
    </xf>
    <xf numFmtId="176" fontId="0" fillId="4" borderId="1" xfId="0" applyNumberFormat="1" applyFill="1" applyBorder="1">
      <alignment vertical="center"/>
    </xf>
    <xf numFmtId="5" fontId="0" fillId="4" borderId="1" xfId="0" applyNumberFormat="1" applyFill="1" applyBorder="1">
      <alignment vertical="center"/>
    </xf>
    <xf numFmtId="0" fontId="0" fillId="4" borderId="0" xfId="0" applyFill="1">
      <alignment vertical="center"/>
    </xf>
    <xf numFmtId="177" fontId="0" fillId="4" borderId="0" xfId="0" applyNumberFormat="1" applyFill="1">
      <alignment vertical="center"/>
    </xf>
    <xf numFmtId="9" fontId="2" fillId="2" borderId="0" xfId="2" applyFont="1" applyFill="1" applyBorder="1">
      <alignment vertical="center"/>
    </xf>
    <xf numFmtId="9" fontId="0" fillId="0" borderId="0" xfId="2" applyFont="1" applyBorder="1">
      <alignment vertical="center"/>
    </xf>
    <xf numFmtId="9" fontId="0" fillId="0" borderId="2" xfId="2" applyFont="1" applyBorder="1">
      <alignment vertical="center"/>
    </xf>
    <xf numFmtId="9" fontId="0" fillId="0" borderId="3" xfId="2" applyFont="1" applyBorder="1">
      <alignment vertical="center"/>
    </xf>
    <xf numFmtId="9" fontId="0" fillId="4" borderId="0" xfId="2" applyFont="1" applyFill="1" applyBorder="1">
      <alignment vertical="center"/>
    </xf>
    <xf numFmtId="9" fontId="0" fillId="0" borderId="0" xfId="2" applyFont="1">
      <alignment vertical="center"/>
    </xf>
    <xf numFmtId="176" fontId="2" fillId="2" borderId="2" xfId="0" applyNumberFormat="1" applyFont="1" applyFill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6A31-FB00-45ED-9A5C-D55AA3B3293D}">
  <dimension ref="A1:Q4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40" sqref="A1:K240"/>
    </sheetView>
  </sheetViews>
  <sheetFormatPr defaultRowHeight="13.5" x14ac:dyDescent="0.15"/>
  <cols>
    <col min="1" max="1" width="16.125" bestFit="1" customWidth="1"/>
    <col min="2" max="2" width="11.625" style="1" bestFit="1" customWidth="1"/>
    <col min="3" max="3" width="31.625" bestFit="1" customWidth="1"/>
    <col min="4" max="4" width="9.5" style="2" bestFit="1" customWidth="1"/>
    <col min="5" max="5" width="18.375" style="2" bestFit="1" customWidth="1"/>
    <col min="6" max="6" width="32.75" bestFit="1" customWidth="1"/>
    <col min="7" max="10" width="11.625" style="1" bestFit="1" customWidth="1"/>
    <col min="11" max="11" width="9.5" bestFit="1" customWidth="1"/>
    <col min="12" max="12" width="12.625" style="16" customWidth="1"/>
    <col min="14" max="14" width="29.375" bestFit="1" customWidth="1"/>
    <col min="15" max="15" width="6.125" style="27" customWidth="1"/>
  </cols>
  <sheetData>
    <row r="1" spans="1:16" x14ac:dyDescent="0.15">
      <c r="A1" s="6" t="s">
        <v>0</v>
      </c>
      <c r="B1" s="7" t="s">
        <v>1</v>
      </c>
      <c r="C1" s="6" t="s">
        <v>550</v>
      </c>
      <c r="D1" s="8" t="s">
        <v>3</v>
      </c>
      <c r="E1" s="8"/>
      <c r="F1" s="3" t="s">
        <v>549</v>
      </c>
      <c r="G1" s="7" t="s">
        <v>4</v>
      </c>
      <c r="H1" s="7" t="s">
        <v>5</v>
      </c>
      <c r="I1" s="7" t="s">
        <v>6</v>
      </c>
      <c r="J1" s="7" t="s">
        <v>7</v>
      </c>
      <c r="K1" s="28" t="s">
        <v>549</v>
      </c>
      <c r="L1" s="15">
        <f>SUM(L118:L435)</f>
        <v>111870</v>
      </c>
      <c r="M1" s="6" t="s">
        <v>8</v>
      </c>
      <c r="N1" s="6" t="s">
        <v>2</v>
      </c>
      <c r="O1" s="22" t="s">
        <v>547</v>
      </c>
      <c r="P1" t="s">
        <v>548</v>
      </c>
    </row>
    <row r="2" spans="1:16" x14ac:dyDescent="0.15">
      <c r="A2" s="3" t="s">
        <v>9</v>
      </c>
      <c r="B2" s="4">
        <v>44797</v>
      </c>
      <c r="C2" s="3" t="s">
        <v>10</v>
      </c>
      <c r="D2" s="5">
        <v>11000</v>
      </c>
      <c r="E2" s="5"/>
      <c r="F2" s="3"/>
      <c r="G2" s="4">
        <v>44848</v>
      </c>
      <c r="H2" s="4">
        <v>44848</v>
      </c>
      <c r="I2" s="4">
        <v>44848</v>
      </c>
      <c r="J2" s="4">
        <v>44850</v>
      </c>
      <c r="M2" s="3" t="s">
        <v>11</v>
      </c>
      <c r="N2" s="3" t="s">
        <v>10</v>
      </c>
      <c r="O2" s="23"/>
    </row>
    <row r="3" spans="1:16" x14ac:dyDescent="0.15">
      <c r="A3" s="3" t="s">
        <v>12</v>
      </c>
      <c r="B3" s="4">
        <v>44831</v>
      </c>
      <c r="C3" s="3" t="s">
        <v>10</v>
      </c>
      <c r="D3" s="5">
        <v>11000</v>
      </c>
      <c r="E3" s="5"/>
      <c r="F3" s="3"/>
      <c r="G3" s="4"/>
      <c r="H3" s="4"/>
      <c r="I3" s="4"/>
      <c r="J3" s="4"/>
      <c r="M3" s="3" t="s">
        <v>13</v>
      </c>
      <c r="N3" s="3" t="s">
        <v>14</v>
      </c>
      <c r="O3" s="23"/>
    </row>
    <row r="4" spans="1:16" x14ac:dyDescent="0.15">
      <c r="A4" s="3" t="s">
        <v>15</v>
      </c>
      <c r="B4" s="4" t="s">
        <v>16</v>
      </c>
      <c r="C4" s="3" t="s">
        <v>14</v>
      </c>
      <c r="D4" s="5">
        <v>25000</v>
      </c>
      <c r="E4" s="5"/>
      <c r="F4" s="3"/>
      <c r="G4" s="4">
        <v>44974</v>
      </c>
      <c r="H4" s="4">
        <v>44974</v>
      </c>
      <c r="I4" s="4">
        <v>44974</v>
      </c>
      <c r="J4" s="4">
        <v>44974</v>
      </c>
      <c r="M4" s="3" t="s">
        <v>17</v>
      </c>
      <c r="N4" s="3" t="s">
        <v>18</v>
      </c>
      <c r="O4" s="23"/>
    </row>
    <row r="5" spans="1:16" x14ac:dyDescent="0.15">
      <c r="A5" s="3" t="s">
        <v>19</v>
      </c>
      <c r="B5" s="4">
        <v>44974</v>
      </c>
      <c r="C5" s="3" t="s">
        <v>18</v>
      </c>
      <c r="D5" s="5">
        <v>5000</v>
      </c>
      <c r="E5" s="5" t="s">
        <v>20</v>
      </c>
      <c r="F5" s="3"/>
      <c r="G5" s="4"/>
      <c r="H5" s="4"/>
      <c r="I5" s="4"/>
      <c r="J5" s="4"/>
      <c r="M5" s="3" t="s">
        <v>21</v>
      </c>
      <c r="N5" s="3" t="s">
        <v>22</v>
      </c>
      <c r="O5" s="23"/>
    </row>
    <row r="6" spans="1:16" x14ac:dyDescent="0.15">
      <c r="A6" s="3" t="s">
        <v>23</v>
      </c>
      <c r="B6" s="4">
        <v>44999</v>
      </c>
      <c r="C6" s="3" t="s">
        <v>24</v>
      </c>
      <c r="D6" s="5">
        <v>11000</v>
      </c>
      <c r="E6" s="5" t="s">
        <v>6</v>
      </c>
      <c r="F6" s="3"/>
      <c r="G6" s="4">
        <v>45002</v>
      </c>
      <c r="H6" s="4">
        <v>45002</v>
      </c>
      <c r="I6" s="4">
        <v>45002</v>
      </c>
      <c r="J6" s="4">
        <v>45002</v>
      </c>
      <c r="M6" s="3" t="s">
        <v>25</v>
      </c>
      <c r="N6" s="3" t="s">
        <v>26</v>
      </c>
      <c r="O6" s="23"/>
    </row>
    <row r="7" spans="1:16" x14ac:dyDescent="0.15">
      <c r="A7" s="3" t="s">
        <v>27</v>
      </c>
      <c r="B7" s="4" t="s">
        <v>16</v>
      </c>
      <c r="C7" s="3" t="s">
        <v>14</v>
      </c>
      <c r="D7" s="5">
        <v>10000</v>
      </c>
      <c r="E7" s="5"/>
      <c r="F7" s="3"/>
      <c r="G7" s="4">
        <v>45016</v>
      </c>
      <c r="H7" s="4">
        <v>45016</v>
      </c>
      <c r="I7" s="4">
        <v>45017</v>
      </c>
      <c r="J7" s="4">
        <v>45017</v>
      </c>
      <c r="M7" s="3" t="s">
        <v>28</v>
      </c>
      <c r="N7" s="3" t="s">
        <v>29</v>
      </c>
      <c r="O7" s="23"/>
    </row>
    <row r="8" spans="1:16" x14ac:dyDescent="0.15">
      <c r="A8" s="3" t="s">
        <v>30</v>
      </c>
      <c r="B8" s="4">
        <v>45022</v>
      </c>
      <c r="C8" s="3" t="s">
        <v>14</v>
      </c>
      <c r="D8" s="5">
        <v>5000</v>
      </c>
      <c r="E8" s="5"/>
      <c r="F8" s="3"/>
      <c r="G8" s="4">
        <v>45022</v>
      </c>
      <c r="H8" s="4">
        <v>45022</v>
      </c>
      <c r="I8" s="4">
        <v>45022</v>
      </c>
      <c r="J8" s="4">
        <v>45022</v>
      </c>
      <c r="M8" s="3" t="s">
        <v>31</v>
      </c>
      <c r="N8" s="3" t="s">
        <v>32</v>
      </c>
      <c r="O8" s="23">
        <v>0.1</v>
      </c>
    </row>
    <row r="9" spans="1:16" x14ac:dyDescent="0.15">
      <c r="A9" s="9" t="s">
        <v>33</v>
      </c>
      <c r="B9" s="4" t="s">
        <v>16</v>
      </c>
      <c r="C9" s="3" t="s">
        <v>26</v>
      </c>
      <c r="D9" s="5">
        <v>5000</v>
      </c>
      <c r="E9" s="5" t="s">
        <v>6</v>
      </c>
      <c r="F9" s="3"/>
      <c r="G9" s="4">
        <v>45035</v>
      </c>
      <c r="H9" s="4">
        <v>45035</v>
      </c>
      <c r="I9" s="4">
        <v>45035</v>
      </c>
      <c r="J9" s="4">
        <v>45046</v>
      </c>
      <c r="M9" s="3" t="s">
        <v>34</v>
      </c>
      <c r="N9" s="3" t="s">
        <v>35</v>
      </c>
      <c r="O9" s="23"/>
    </row>
    <row r="10" spans="1:16" x14ac:dyDescent="0.15">
      <c r="A10" s="9" t="s">
        <v>36</v>
      </c>
      <c r="B10" s="4" t="s">
        <v>16</v>
      </c>
      <c r="C10" s="3" t="s">
        <v>26</v>
      </c>
      <c r="D10" s="5">
        <v>3000</v>
      </c>
      <c r="E10" s="5" t="s">
        <v>6</v>
      </c>
      <c r="F10" s="3"/>
      <c r="G10" s="4">
        <v>45045</v>
      </c>
      <c r="H10" s="4">
        <v>45046</v>
      </c>
      <c r="I10" s="4">
        <v>45046</v>
      </c>
      <c r="J10" s="4">
        <v>45049</v>
      </c>
      <c r="M10" s="3" t="s">
        <v>37</v>
      </c>
      <c r="N10" s="3" t="s">
        <v>38</v>
      </c>
      <c r="O10" s="23"/>
    </row>
    <row r="11" spans="1:16" x14ac:dyDescent="0.15">
      <c r="A11" s="3" t="s">
        <v>39</v>
      </c>
      <c r="B11" s="4" t="s">
        <v>16</v>
      </c>
      <c r="C11" s="3" t="s">
        <v>29</v>
      </c>
      <c r="D11" s="5">
        <v>10000</v>
      </c>
      <c r="E11" s="5" t="s">
        <v>6</v>
      </c>
      <c r="F11" s="3"/>
      <c r="G11" s="4">
        <v>45050</v>
      </c>
      <c r="H11" s="4">
        <v>45051</v>
      </c>
      <c r="I11" s="4">
        <v>45051</v>
      </c>
      <c r="J11" s="4">
        <v>45077</v>
      </c>
      <c r="M11" s="3" t="s">
        <v>40</v>
      </c>
      <c r="N11" s="3" t="s">
        <v>41</v>
      </c>
      <c r="O11" s="23"/>
    </row>
    <row r="12" spans="1:16" x14ac:dyDescent="0.15">
      <c r="A12" s="3" t="s">
        <v>42</v>
      </c>
      <c r="B12" s="4" t="s">
        <v>16</v>
      </c>
      <c r="C12" s="3" t="s">
        <v>24</v>
      </c>
      <c r="D12" s="5">
        <v>22000</v>
      </c>
      <c r="E12" s="5" t="s">
        <v>6</v>
      </c>
      <c r="F12" s="3"/>
      <c r="G12" s="4">
        <v>45046</v>
      </c>
      <c r="H12" s="4">
        <v>45051</v>
      </c>
      <c r="I12" s="4">
        <v>45051</v>
      </c>
      <c r="J12" s="4">
        <v>45055</v>
      </c>
      <c r="M12" s="3" t="s">
        <v>43</v>
      </c>
      <c r="N12" s="3" t="s">
        <v>44</v>
      </c>
      <c r="O12" s="23"/>
    </row>
    <row r="13" spans="1:16" x14ac:dyDescent="0.15">
      <c r="A13" s="3" t="s">
        <v>45</v>
      </c>
      <c r="B13" s="4" t="s">
        <v>16</v>
      </c>
      <c r="C13" s="3" t="s">
        <v>32</v>
      </c>
      <c r="D13" s="5">
        <v>30800</v>
      </c>
      <c r="E13" s="5" t="s">
        <v>6</v>
      </c>
      <c r="F13" s="3"/>
      <c r="G13" s="4">
        <v>45070</v>
      </c>
      <c r="H13" s="4">
        <v>45072</v>
      </c>
      <c r="I13" s="4">
        <v>45072</v>
      </c>
      <c r="J13" s="4">
        <v>45072</v>
      </c>
      <c r="M13" s="3" t="s">
        <v>46</v>
      </c>
      <c r="N13" s="3" t="s">
        <v>47</v>
      </c>
      <c r="O13" s="23">
        <v>0.05</v>
      </c>
      <c r="P13" t="s">
        <v>539</v>
      </c>
    </row>
    <row r="14" spans="1:16" x14ac:dyDescent="0.15">
      <c r="A14" s="3" t="s">
        <v>48</v>
      </c>
      <c r="B14" s="4" t="s">
        <v>16</v>
      </c>
      <c r="C14" s="3" t="s">
        <v>24</v>
      </c>
      <c r="D14" s="5">
        <v>11000</v>
      </c>
      <c r="E14" s="5" t="s">
        <v>6</v>
      </c>
      <c r="F14" s="3"/>
      <c r="G14" s="4">
        <v>45077</v>
      </c>
      <c r="H14" s="4">
        <v>45078</v>
      </c>
      <c r="I14" s="4">
        <v>45078</v>
      </c>
      <c r="J14" s="4">
        <v>45082</v>
      </c>
      <c r="M14" s="3" t="s">
        <v>49</v>
      </c>
      <c r="N14" s="3" t="s">
        <v>50</v>
      </c>
      <c r="O14" s="23"/>
    </row>
    <row r="15" spans="1:16" x14ac:dyDescent="0.15">
      <c r="A15" s="3" t="s">
        <v>51</v>
      </c>
      <c r="B15" s="4" t="s">
        <v>16</v>
      </c>
      <c r="C15" s="3" t="s">
        <v>52</v>
      </c>
      <c r="D15" s="5">
        <v>16500</v>
      </c>
      <c r="E15" s="5" t="s">
        <v>6</v>
      </c>
      <c r="F15" s="3"/>
      <c r="G15" s="4">
        <v>45098</v>
      </c>
      <c r="H15" s="4">
        <v>45098</v>
      </c>
      <c r="I15" s="4">
        <v>45098</v>
      </c>
      <c r="J15" s="4">
        <v>45138</v>
      </c>
      <c r="M15" s="3" t="s">
        <v>53</v>
      </c>
      <c r="N15" s="3" t="s">
        <v>54</v>
      </c>
      <c r="O15" s="23"/>
    </row>
    <row r="16" spans="1:16" x14ac:dyDescent="0.15">
      <c r="A16" s="3" t="s">
        <v>55</v>
      </c>
      <c r="B16" s="4" t="s">
        <v>16</v>
      </c>
      <c r="C16" s="3" t="s">
        <v>24</v>
      </c>
      <c r="D16" s="5">
        <v>11000</v>
      </c>
      <c r="E16" s="5" t="s">
        <v>6</v>
      </c>
      <c r="F16" s="3"/>
      <c r="G16" s="4">
        <v>45107</v>
      </c>
      <c r="H16" s="4">
        <v>45112</v>
      </c>
      <c r="I16" s="4">
        <v>45112</v>
      </c>
      <c r="J16" s="4">
        <v>45114</v>
      </c>
      <c r="M16" s="3" t="s">
        <v>56</v>
      </c>
      <c r="N16" s="3" t="s">
        <v>57</v>
      </c>
      <c r="O16" s="23"/>
      <c r="P16" t="s">
        <v>326</v>
      </c>
    </row>
    <row r="17" spans="1:16" x14ac:dyDescent="0.15">
      <c r="A17" s="3" t="s">
        <v>58</v>
      </c>
      <c r="B17" s="4" t="s">
        <v>16</v>
      </c>
      <c r="C17" s="3" t="s">
        <v>24</v>
      </c>
      <c r="D17" s="5">
        <v>11000</v>
      </c>
      <c r="E17" s="5" t="s">
        <v>7</v>
      </c>
      <c r="F17" s="3"/>
      <c r="G17" s="4" t="s">
        <v>16</v>
      </c>
      <c r="H17" s="4" t="s">
        <v>16</v>
      </c>
      <c r="I17" s="4" t="s">
        <v>16</v>
      </c>
      <c r="J17" s="4">
        <v>45132</v>
      </c>
      <c r="M17" s="3" t="s">
        <v>59</v>
      </c>
      <c r="N17" s="3" t="s">
        <v>60</v>
      </c>
      <c r="O17" s="24"/>
      <c r="P17" s="10" t="s">
        <v>61</v>
      </c>
    </row>
    <row r="18" spans="1:16" x14ac:dyDescent="0.15">
      <c r="A18" s="3" t="s">
        <v>62</v>
      </c>
      <c r="B18" s="4">
        <v>45163</v>
      </c>
      <c r="C18" s="3" t="s">
        <v>38</v>
      </c>
      <c r="D18" s="5">
        <v>24640</v>
      </c>
      <c r="E18" s="5"/>
      <c r="F18" s="3"/>
      <c r="G18" s="4">
        <v>45167</v>
      </c>
      <c r="H18" s="4">
        <v>45167</v>
      </c>
      <c r="I18" s="4">
        <v>45167</v>
      </c>
      <c r="J18" s="4">
        <v>45167</v>
      </c>
      <c r="M18" s="3" t="s">
        <v>63</v>
      </c>
      <c r="N18" s="3" t="s">
        <v>64</v>
      </c>
      <c r="O18" s="23"/>
    </row>
    <row r="19" spans="1:16" x14ac:dyDescent="0.15">
      <c r="A19" s="3" t="s">
        <v>65</v>
      </c>
      <c r="B19" s="4">
        <v>45170</v>
      </c>
      <c r="C19" s="3" t="s">
        <v>14</v>
      </c>
      <c r="D19" s="5">
        <v>60000</v>
      </c>
      <c r="E19" s="5" t="s">
        <v>6</v>
      </c>
      <c r="F19" s="3"/>
      <c r="G19" s="4">
        <v>45170</v>
      </c>
      <c r="H19" s="4">
        <v>45170</v>
      </c>
      <c r="I19" s="4">
        <v>45170</v>
      </c>
      <c r="J19" s="4">
        <v>45175</v>
      </c>
      <c r="M19" s="3" t="s">
        <v>66</v>
      </c>
      <c r="N19" s="3" t="s">
        <v>67</v>
      </c>
      <c r="O19" s="23"/>
    </row>
    <row r="20" spans="1:16" x14ac:dyDescent="0.15">
      <c r="A20" s="3" t="s">
        <v>68</v>
      </c>
      <c r="B20" s="4">
        <v>45175</v>
      </c>
      <c r="C20" s="3" t="s">
        <v>41</v>
      </c>
      <c r="D20" s="5"/>
      <c r="E20" s="5" t="s">
        <v>6</v>
      </c>
      <c r="F20" s="3"/>
      <c r="G20" s="4">
        <v>45175</v>
      </c>
      <c r="H20" s="4">
        <v>45175</v>
      </c>
      <c r="I20" s="4">
        <v>45175</v>
      </c>
      <c r="J20" s="4">
        <v>45175</v>
      </c>
      <c r="M20" s="3" t="s">
        <v>69</v>
      </c>
      <c r="N20" s="3" t="s">
        <v>70</v>
      </c>
      <c r="O20" s="23"/>
    </row>
    <row r="21" spans="1:16" x14ac:dyDescent="0.15">
      <c r="A21" s="3" t="s">
        <v>71</v>
      </c>
      <c r="B21" s="4">
        <v>45176</v>
      </c>
      <c r="C21" s="3" t="s">
        <v>32</v>
      </c>
      <c r="D21" s="5">
        <v>56210</v>
      </c>
      <c r="E21" s="5" t="s">
        <v>6</v>
      </c>
      <c r="F21" s="3"/>
      <c r="G21" s="4">
        <v>45176</v>
      </c>
      <c r="H21" s="4">
        <v>45176</v>
      </c>
      <c r="I21" s="4">
        <v>45176</v>
      </c>
      <c r="J21" s="4">
        <v>45201</v>
      </c>
      <c r="M21" s="3" t="s">
        <v>72</v>
      </c>
      <c r="N21" s="3" t="s">
        <v>73</v>
      </c>
      <c r="O21" s="23"/>
      <c r="P21" t="s">
        <v>74</v>
      </c>
    </row>
    <row r="22" spans="1:16" x14ac:dyDescent="0.15">
      <c r="A22" s="3" t="s">
        <v>75</v>
      </c>
      <c r="B22" s="4">
        <v>45193</v>
      </c>
      <c r="C22" s="3" t="s">
        <v>14</v>
      </c>
      <c r="D22" s="5">
        <v>40000</v>
      </c>
      <c r="E22" s="5" t="s">
        <v>6</v>
      </c>
      <c r="F22" s="3"/>
      <c r="G22" s="4">
        <v>45192</v>
      </c>
      <c r="H22" s="4">
        <v>45193</v>
      </c>
      <c r="I22" s="4">
        <v>45193</v>
      </c>
      <c r="J22" s="4">
        <v>45194</v>
      </c>
      <c r="M22" s="3" t="s">
        <v>76</v>
      </c>
      <c r="N22" s="3" t="s">
        <v>77</v>
      </c>
      <c r="O22" s="23"/>
    </row>
    <row r="23" spans="1:16" x14ac:dyDescent="0.15">
      <c r="A23" s="3" t="s">
        <v>78</v>
      </c>
      <c r="B23" s="4">
        <v>45201</v>
      </c>
      <c r="C23" s="3" t="s">
        <v>32</v>
      </c>
      <c r="D23" s="5">
        <v>5500</v>
      </c>
      <c r="E23" s="5" t="s">
        <v>7</v>
      </c>
      <c r="F23" s="3"/>
      <c r="G23" s="4">
        <v>45198</v>
      </c>
      <c r="H23" s="4">
        <v>45198</v>
      </c>
      <c r="I23" s="4">
        <v>45198</v>
      </c>
      <c r="J23" s="4">
        <v>45201</v>
      </c>
      <c r="M23" s="3" t="s">
        <v>79</v>
      </c>
      <c r="N23" s="3" t="s">
        <v>80</v>
      </c>
      <c r="O23" s="23"/>
      <c r="P23" t="s">
        <v>81</v>
      </c>
    </row>
    <row r="24" spans="1:16" x14ac:dyDescent="0.15">
      <c r="A24" s="3" t="s">
        <v>82</v>
      </c>
      <c r="B24" s="4">
        <v>45201</v>
      </c>
      <c r="C24" s="3" t="s">
        <v>24</v>
      </c>
      <c r="D24" s="5">
        <v>22000</v>
      </c>
      <c r="E24" s="5" t="s">
        <v>6</v>
      </c>
      <c r="F24" s="3"/>
      <c r="G24" s="4">
        <v>45199</v>
      </c>
      <c r="H24" s="4">
        <v>45201</v>
      </c>
      <c r="I24" s="4">
        <v>45201</v>
      </c>
      <c r="J24" s="4">
        <v>45201</v>
      </c>
      <c r="M24" s="3" t="s">
        <v>83</v>
      </c>
      <c r="N24" s="3" t="s">
        <v>84</v>
      </c>
      <c r="O24" s="23"/>
      <c r="P24" t="s">
        <v>85</v>
      </c>
    </row>
    <row r="25" spans="1:16" x14ac:dyDescent="0.15">
      <c r="A25" s="3" t="s">
        <v>86</v>
      </c>
      <c r="B25" s="4">
        <v>45231</v>
      </c>
      <c r="C25" s="3" t="s">
        <v>44</v>
      </c>
      <c r="D25" s="5">
        <v>38720</v>
      </c>
      <c r="E25" s="5"/>
      <c r="F25" s="3"/>
      <c r="G25" s="4">
        <v>45258</v>
      </c>
      <c r="H25" s="4">
        <v>45258</v>
      </c>
      <c r="I25" s="4">
        <v>45258</v>
      </c>
      <c r="J25" s="4">
        <v>45266</v>
      </c>
      <c r="M25" s="3" t="s">
        <v>87</v>
      </c>
      <c r="N25" s="3" t="s">
        <v>88</v>
      </c>
      <c r="O25" s="23"/>
      <c r="P25" t="s">
        <v>89</v>
      </c>
    </row>
    <row r="26" spans="1:16" x14ac:dyDescent="0.15">
      <c r="A26" s="3" t="s">
        <v>90</v>
      </c>
      <c r="B26" s="4">
        <v>45232</v>
      </c>
      <c r="C26" s="3" t="s">
        <v>47</v>
      </c>
      <c r="D26" s="5">
        <v>140800</v>
      </c>
      <c r="E26" s="5" t="s">
        <v>6</v>
      </c>
      <c r="F26" s="3"/>
      <c r="G26" s="4">
        <v>45232</v>
      </c>
      <c r="H26" s="4">
        <v>45232</v>
      </c>
      <c r="I26" s="4">
        <v>45232</v>
      </c>
      <c r="J26" s="4">
        <v>45236</v>
      </c>
      <c r="M26" s="3" t="s">
        <v>91</v>
      </c>
      <c r="N26" s="3" t="s">
        <v>92</v>
      </c>
      <c r="O26" s="23"/>
      <c r="P26" t="s">
        <v>93</v>
      </c>
    </row>
    <row r="27" spans="1:16" x14ac:dyDescent="0.15">
      <c r="A27" s="3" t="s">
        <v>94</v>
      </c>
      <c r="B27" s="4">
        <v>45232</v>
      </c>
      <c r="C27" s="3" t="s">
        <v>22</v>
      </c>
      <c r="D27" s="5">
        <v>11000</v>
      </c>
      <c r="E27" s="5" t="s">
        <v>6</v>
      </c>
      <c r="F27" s="3"/>
      <c r="G27" s="4">
        <v>45232</v>
      </c>
      <c r="H27" s="4">
        <v>45232</v>
      </c>
      <c r="I27" s="4">
        <v>45232</v>
      </c>
      <c r="J27" s="4">
        <v>45236</v>
      </c>
      <c r="M27" s="3" t="s">
        <v>95</v>
      </c>
      <c r="N27" s="3" t="s">
        <v>96</v>
      </c>
      <c r="O27" s="23"/>
      <c r="P27" t="s">
        <v>97</v>
      </c>
    </row>
    <row r="28" spans="1:16" x14ac:dyDescent="0.15">
      <c r="A28" s="3" t="s">
        <v>98</v>
      </c>
      <c r="B28" s="4">
        <v>45236</v>
      </c>
      <c r="C28" s="3" t="s">
        <v>47</v>
      </c>
      <c r="D28" s="5">
        <v>11000</v>
      </c>
      <c r="E28" s="5" t="s">
        <v>6</v>
      </c>
      <c r="F28" s="3"/>
      <c r="G28" s="4">
        <v>45236</v>
      </c>
      <c r="H28" s="4">
        <v>45236</v>
      </c>
      <c r="I28" s="4">
        <v>45236</v>
      </c>
      <c r="J28" s="4">
        <v>45238</v>
      </c>
      <c r="M28" s="3" t="s">
        <v>99</v>
      </c>
      <c r="N28" s="3" t="s">
        <v>100</v>
      </c>
      <c r="O28" s="23"/>
    </row>
    <row r="29" spans="1:16" x14ac:dyDescent="0.15">
      <c r="A29" s="3" t="s">
        <v>101</v>
      </c>
      <c r="B29" s="4">
        <v>45258</v>
      </c>
      <c r="C29" s="3" t="s">
        <v>50</v>
      </c>
      <c r="D29" s="5">
        <v>35200</v>
      </c>
      <c r="E29" s="5" t="s">
        <v>6</v>
      </c>
      <c r="F29" s="3"/>
      <c r="G29" s="4">
        <v>45258</v>
      </c>
      <c r="H29" s="4">
        <v>45258</v>
      </c>
      <c r="I29" s="4">
        <v>45258</v>
      </c>
      <c r="J29" s="4">
        <v>45258</v>
      </c>
      <c r="M29" s="3" t="s">
        <v>102</v>
      </c>
      <c r="N29" s="3" t="s">
        <v>103</v>
      </c>
      <c r="O29" s="23"/>
      <c r="P29" t="s">
        <v>104</v>
      </c>
    </row>
    <row r="30" spans="1:16" x14ac:dyDescent="0.15">
      <c r="A30" s="3" t="s">
        <v>105</v>
      </c>
      <c r="B30" s="4">
        <v>45266</v>
      </c>
      <c r="C30" s="3" t="s">
        <v>22</v>
      </c>
      <c r="D30" s="5">
        <v>11000</v>
      </c>
      <c r="E30" s="5" t="s">
        <v>6</v>
      </c>
      <c r="F30" s="3"/>
      <c r="G30" s="4">
        <v>45632</v>
      </c>
      <c r="H30" s="4">
        <v>45632</v>
      </c>
      <c r="I30" s="4">
        <v>45632</v>
      </c>
      <c r="J30" s="4" t="s">
        <v>332</v>
      </c>
      <c r="M30" s="3" t="s">
        <v>106</v>
      </c>
      <c r="N30" s="3" t="s">
        <v>107</v>
      </c>
      <c r="O30" s="23"/>
      <c r="P30" t="s">
        <v>108</v>
      </c>
    </row>
    <row r="31" spans="1:16" x14ac:dyDescent="0.15">
      <c r="A31" s="3" t="s">
        <v>109</v>
      </c>
      <c r="B31" s="4">
        <v>45280</v>
      </c>
      <c r="C31" s="3" t="s">
        <v>44</v>
      </c>
      <c r="D31" s="5">
        <v>58080</v>
      </c>
      <c r="E31" s="5" t="s">
        <v>6</v>
      </c>
      <c r="F31" s="3"/>
      <c r="G31" s="4">
        <v>45280</v>
      </c>
      <c r="H31" s="4">
        <v>45280</v>
      </c>
      <c r="I31" s="4">
        <v>45280</v>
      </c>
      <c r="J31" s="4">
        <v>45397</v>
      </c>
      <c r="M31" s="3" t="s">
        <v>110</v>
      </c>
      <c r="N31" s="3" t="s">
        <v>111</v>
      </c>
      <c r="O31" s="23"/>
      <c r="P31" t="s">
        <v>112</v>
      </c>
    </row>
    <row r="32" spans="1:16" x14ac:dyDescent="0.15">
      <c r="A32" s="3" t="s">
        <v>113</v>
      </c>
      <c r="B32" s="4">
        <v>45285</v>
      </c>
      <c r="C32" s="3" t="s">
        <v>114</v>
      </c>
      <c r="D32" s="5">
        <v>4400</v>
      </c>
      <c r="E32" s="5" t="s">
        <v>6</v>
      </c>
      <c r="F32" s="3"/>
      <c r="G32" s="4">
        <v>45283</v>
      </c>
      <c r="H32" s="4">
        <v>45285</v>
      </c>
      <c r="I32" s="4">
        <v>45285</v>
      </c>
      <c r="J32" s="4">
        <v>45286</v>
      </c>
      <c r="M32" s="3" t="s">
        <v>195</v>
      </c>
      <c r="N32" s="3" t="s">
        <v>196</v>
      </c>
      <c r="O32" s="23"/>
    </row>
    <row r="33" spans="1:17" x14ac:dyDescent="0.15">
      <c r="A33" s="3" t="s">
        <v>115</v>
      </c>
      <c r="B33" s="4" t="s">
        <v>16</v>
      </c>
      <c r="C33" s="3" t="s">
        <v>16</v>
      </c>
      <c r="D33" s="5" t="s">
        <v>16</v>
      </c>
      <c r="E33" s="5" t="s">
        <v>16</v>
      </c>
      <c r="F33" s="3"/>
      <c r="G33" s="4" t="s">
        <v>16</v>
      </c>
      <c r="H33" s="4" t="s">
        <v>16</v>
      </c>
      <c r="I33" s="4" t="s">
        <v>16</v>
      </c>
      <c r="J33" s="4" t="s">
        <v>16</v>
      </c>
      <c r="M33" s="3" t="s">
        <v>197</v>
      </c>
      <c r="N33" s="3" t="s">
        <v>537</v>
      </c>
      <c r="O33" s="24"/>
      <c r="P33" s="10" t="s">
        <v>538</v>
      </c>
    </row>
    <row r="34" spans="1:17" x14ac:dyDescent="0.15">
      <c r="A34" s="3" t="s">
        <v>116</v>
      </c>
      <c r="B34" s="4">
        <v>45314</v>
      </c>
      <c r="C34" s="3" t="s">
        <v>114</v>
      </c>
      <c r="D34" s="5">
        <v>7000</v>
      </c>
      <c r="E34" s="5" t="s">
        <v>7</v>
      </c>
      <c r="F34" s="3"/>
      <c r="G34" s="4">
        <v>45312</v>
      </c>
      <c r="H34" s="4" t="s">
        <v>16</v>
      </c>
      <c r="I34" s="4" t="s">
        <v>16</v>
      </c>
      <c r="J34" s="4">
        <v>45314</v>
      </c>
      <c r="M34" s="3" t="s">
        <v>201</v>
      </c>
      <c r="N34" s="3" t="s">
        <v>200</v>
      </c>
      <c r="O34" s="25"/>
      <c r="P34" s="14" t="s">
        <v>234</v>
      </c>
    </row>
    <row r="35" spans="1:17" x14ac:dyDescent="0.15">
      <c r="A35" s="3" t="s">
        <v>117</v>
      </c>
      <c r="B35" s="4">
        <v>45319</v>
      </c>
      <c r="C35" s="3" t="s">
        <v>118</v>
      </c>
      <c r="D35" s="5">
        <v>30000</v>
      </c>
      <c r="E35" s="5" t="s">
        <v>7</v>
      </c>
      <c r="F35" s="3"/>
      <c r="G35" s="4">
        <v>45319</v>
      </c>
      <c r="H35" s="4">
        <v>45319</v>
      </c>
      <c r="I35" s="4" t="s">
        <v>16</v>
      </c>
      <c r="J35" s="4">
        <v>45319</v>
      </c>
      <c r="M35" s="3" t="s">
        <v>206</v>
      </c>
      <c r="N35" s="3" t="s">
        <v>210</v>
      </c>
      <c r="O35" s="23"/>
    </row>
    <row r="36" spans="1:17" x14ac:dyDescent="0.15">
      <c r="A36" s="3" t="s">
        <v>119</v>
      </c>
      <c r="B36" s="4">
        <v>45327</v>
      </c>
      <c r="C36" s="3" t="s">
        <v>22</v>
      </c>
      <c r="D36" s="5">
        <v>22000</v>
      </c>
      <c r="E36" s="5" t="s">
        <v>6</v>
      </c>
      <c r="F36" s="3"/>
      <c r="G36" s="4">
        <v>45322</v>
      </c>
      <c r="H36" s="4">
        <v>45327</v>
      </c>
      <c r="I36" s="4">
        <v>45327</v>
      </c>
      <c r="J36" s="4">
        <v>45327</v>
      </c>
      <c r="M36" s="3" t="s">
        <v>213</v>
      </c>
      <c r="N36" s="3" t="s">
        <v>214</v>
      </c>
      <c r="O36" s="23"/>
    </row>
    <row r="37" spans="1:17" x14ac:dyDescent="0.15">
      <c r="A37" s="3" t="s">
        <v>120</v>
      </c>
      <c r="B37" s="4">
        <v>45331</v>
      </c>
      <c r="C37" s="3" t="s">
        <v>114</v>
      </c>
      <c r="D37" s="5">
        <v>6270</v>
      </c>
      <c r="E37" s="5" t="s">
        <v>7</v>
      </c>
      <c r="F37" s="3"/>
      <c r="G37" s="4" t="s">
        <v>16</v>
      </c>
      <c r="H37" s="4" t="s">
        <v>16</v>
      </c>
      <c r="I37" s="4" t="s">
        <v>16</v>
      </c>
      <c r="J37" s="4">
        <v>45331</v>
      </c>
      <c r="M37" s="3" t="s">
        <v>226</v>
      </c>
      <c r="N37" s="3" t="s">
        <v>225</v>
      </c>
      <c r="O37" s="23"/>
      <c r="P37" t="s">
        <v>233</v>
      </c>
    </row>
    <row r="38" spans="1:17" x14ac:dyDescent="0.15">
      <c r="A38" s="3" t="s">
        <v>121</v>
      </c>
      <c r="B38" s="4">
        <v>45343</v>
      </c>
      <c r="C38" s="3" t="s">
        <v>47</v>
      </c>
      <c r="D38" s="5">
        <v>52800</v>
      </c>
      <c r="E38" s="5" t="s">
        <v>6</v>
      </c>
      <c r="F38" s="3"/>
      <c r="G38" s="4">
        <v>45343</v>
      </c>
      <c r="H38" s="4">
        <v>45343</v>
      </c>
      <c r="I38" s="4">
        <v>45343</v>
      </c>
      <c r="J38" s="4">
        <v>45348</v>
      </c>
      <c r="M38" s="3" t="s">
        <v>230</v>
      </c>
      <c r="N38" s="3" t="s">
        <v>229</v>
      </c>
      <c r="O38" s="23"/>
      <c r="P38" t="s">
        <v>231</v>
      </c>
    </row>
    <row r="39" spans="1:17" x14ac:dyDescent="0.15">
      <c r="A39" s="3" t="s">
        <v>122</v>
      </c>
      <c r="B39" s="4">
        <v>45350</v>
      </c>
      <c r="C39" s="3" t="s">
        <v>123</v>
      </c>
      <c r="D39" s="5">
        <v>22000</v>
      </c>
      <c r="E39" s="5"/>
      <c r="F39" s="3"/>
      <c r="G39" s="4">
        <v>45395</v>
      </c>
      <c r="H39" s="4">
        <v>45395</v>
      </c>
      <c r="I39" s="4">
        <v>45395</v>
      </c>
      <c r="J39" s="4">
        <v>45396</v>
      </c>
      <c r="M39" s="3" t="s">
        <v>257</v>
      </c>
      <c r="N39" s="3" t="s">
        <v>256</v>
      </c>
      <c r="O39" s="23"/>
      <c r="P39" t="s">
        <v>258</v>
      </c>
    </row>
    <row r="40" spans="1:17" x14ac:dyDescent="0.15">
      <c r="A40" s="3" t="s">
        <v>124</v>
      </c>
      <c r="B40" s="4">
        <v>45357</v>
      </c>
      <c r="C40" s="3" t="s">
        <v>22</v>
      </c>
      <c r="D40" s="5">
        <v>11000</v>
      </c>
      <c r="E40" s="5" t="s">
        <v>6</v>
      </c>
      <c r="F40" s="3"/>
      <c r="G40" s="4">
        <v>45351</v>
      </c>
      <c r="H40" s="4"/>
      <c r="I40" s="4">
        <v>45357</v>
      </c>
      <c r="J40" s="4">
        <v>45391</v>
      </c>
      <c r="M40" s="3" t="s">
        <v>268</v>
      </c>
      <c r="N40" s="3" t="s">
        <v>267</v>
      </c>
      <c r="O40" s="23"/>
    </row>
    <row r="41" spans="1:17" x14ac:dyDescent="0.15">
      <c r="A41" s="3" t="s">
        <v>125</v>
      </c>
      <c r="B41" s="4">
        <v>45357</v>
      </c>
      <c r="C41" s="3" t="s">
        <v>44</v>
      </c>
      <c r="D41" s="5">
        <v>44000</v>
      </c>
      <c r="E41" s="5" t="s">
        <v>6</v>
      </c>
      <c r="F41" s="3"/>
      <c r="G41" s="4">
        <v>45356</v>
      </c>
      <c r="H41" s="4">
        <v>45356</v>
      </c>
      <c r="I41" s="4">
        <v>45379</v>
      </c>
      <c r="J41" s="4">
        <v>45379</v>
      </c>
      <c r="M41" s="3" t="s">
        <v>287</v>
      </c>
      <c r="N41" s="3" t="s">
        <v>285</v>
      </c>
      <c r="O41" s="23"/>
      <c r="P41" t="s">
        <v>286</v>
      </c>
    </row>
    <row r="42" spans="1:17" x14ac:dyDescent="0.15">
      <c r="A42" s="3" t="s">
        <v>126</v>
      </c>
      <c r="B42" s="4">
        <v>45376</v>
      </c>
      <c r="C42" s="3" t="s">
        <v>57</v>
      </c>
      <c r="D42" s="5">
        <v>50000</v>
      </c>
      <c r="E42" s="5"/>
      <c r="F42" s="3"/>
      <c r="G42" s="4">
        <v>45384</v>
      </c>
      <c r="H42" s="4">
        <v>45385</v>
      </c>
      <c r="I42" s="4">
        <v>45385</v>
      </c>
      <c r="J42" s="4">
        <v>45411</v>
      </c>
      <c r="M42" s="3" t="s">
        <v>294</v>
      </c>
      <c r="N42" s="3" t="s">
        <v>295</v>
      </c>
      <c r="O42" s="23"/>
      <c r="Q42" t="s">
        <v>506</v>
      </c>
    </row>
    <row r="43" spans="1:17" x14ac:dyDescent="0.15">
      <c r="A43" s="3" t="s">
        <v>127</v>
      </c>
      <c r="B43" s="4">
        <v>45376</v>
      </c>
      <c r="C43" s="3" t="s">
        <v>47</v>
      </c>
      <c r="D43" s="5">
        <v>57200</v>
      </c>
      <c r="E43" s="5"/>
      <c r="F43" s="3"/>
      <c r="G43" s="4">
        <v>45390</v>
      </c>
      <c r="H43" s="4">
        <v>45393</v>
      </c>
      <c r="I43" s="4">
        <v>45393</v>
      </c>
      <c r="J43" s="4">
        <v>45393</v>
      </c>
      <c r="M43" s="3" t="s">
        <v>299</v>
      </c>
      <c r="N43" s="3" t="s">
        <v>298</v>
      </c>
      <c r="O43" s="23"/>
      <c r="P43" t="s">
        <v>297</v>
      </c>
    </row>
    <row r="44" spans="1:17" x14ac:dyDescent="0.15">
      <c r="A44" s="3" t="s">
        <v>128</v>
      </c>
      <c r="B44" s="4">
        <v>45378</v>
      </c>
      <c r="C44" s="3" t="s">
        <v>60</v>
      </c>
      <c r="D44" s="5">
        <v>15400</v>
      </c>
      <c r="E44" s="5"/>
      <c r="F44" s="3"/>
      <c r="G44" s="4">
        <v>45378</v>
      </c>
      <c r="H44" s="4" t="s">
        <v>16</v>
      </c>
      <c r="I44" s="4" t="s">
        <v>16</v>
      </c>
      <c r="J44" s="4">
        <v>45379</v>
      </c>
      <c r="M44" s="3" t="s">
        <v>303</v>
      </c>
      <c r="N44" s="3" t="s">
        <v>301</v>
      </c>
      <c r="O44" s="23"/>
      <c r="P44" t="s">
        <v>302</v>
      </c>
    </row>
    <row r="45" spans="1:17" x14ac:dyDescent="0.15">
      <c r="A45" s="3" t="s">
        <v>129</v>
      </c>
      <c r="B45" s="4">
        <v>45380</v>
      </c>
      <c r="C45" s="3" t="s">
        <v>57</v>
      </c>
      <c r="D45" s="5">
        <v>4400</v>
      </c>
      <c r="E45" s="5"/>
      <c r="F45" s="3"/>
      <c r="G45" s="4">
        <v>45384</v>
      </c>
      <c r="H45" s="4">
        <v>45384</v>
      </c>
      <c r="I45" s="4">
        <v>45384</v>
      </c>
      <c r="J45" s="4">
        <v>45385</v>
      </c>
      <c r="M45" s="3" t="s">
        <v>308</v>
      </c>
      <c r="N45" s="3" t="s">
        <v>307</v>
      </c>
      <c r="O45" s="23"/>
      <c r="P45" t="s">
        <v>306</v>
      </c>
    </row>
    <row r="46" spans="1:17" x14ac:dyDescent="0.15">
      <c r="A46" s="3" t="s">
        <v>130</v>
      </c>
      <c r="B46" s="4">
        <v>45385</v>
      </c>
      <c r="C46" s="3" t="s">
        <v>57</v>
      </c>
      <c r="D46" s="5">
        <v>8800</v>
      </c>
      <c r="E46" s="5" t="s">
        <v>131</v>
      </c>
      <c r="F46" s="3"/>
      <c r="G46" s="4" t="s">
        <v>132</v>
      </c>
      <c r="H46" s="4" t="s">
        <v>132</v>
      </c>
      <c r="I46" s="4" t="s">
        <v>132</v>
      </c>
      <c r="J46" s="4" t="s">
        <v>132</v>
      </c>
      <c r="M46" s="3" t="s">
        <v>337</v>
      </c>
      <c r="N46" s="3" t="s">
        <v>338</v>
      </c>
      <c r="O46" s="23"/>
    </row>
    <row r="47" spans="1:17" x14ac:dyDescent="0.15">
      <c r="A47" s="3" t="s">
        <v>133</v>
      </c>
      <c r="B47" s="4">
        <v>45391</v>
      </c>
      <c r="C47" s="3" t="s">
        <v>22</v>
      </c>
      <c r="D47" s="5">
        <v>11000</v>
      </c>
      <c r="E47" s="5" t="s">
        <v>6</v>
      </c>
      <c r="F47" s="3"/>
      <c r="G47" s="4">
        <v>45382</v>
      </c>
      <c r="H47" s="4" t="s">
        <v>16</v>
      </c>
      <c r="I47" s="4" t="s">
        <v>16</v>
      </c>
      <c r="J47" s="4">
        <v>45391</v>
      </c>
      <c r="M47" s="3" t="s">
        <v>349</v>
      </c>
      <c r="N47" s="3" t="s">
        <v>348</v>
      </c>
      <c r="O47" s="23"/>
      <c r="P47" t="s">
        <v>347</v>
      </c>
    </row>
    <row r="48" spans="1:17" x14ac:dyDescent="0.15">
      <c r="A48" s="3" t="s">
        <v>134</v>
      </c>
      <c r="B48" s="4">
        <v>45393</v>
      </c>
      <c r="C48" s="3" t="s">
        <v>57</v>
      </c>
      <c r="D48" s="5">
        <v>6600</v>
      </c>
      <c r="E48" s="5" t="s">
        <v>6</v>
      </c>
      <c r="F48" s="3"/>
      <c r="G48" s="4">
        <v>45392</v>
      </c>
      <c r="H48" s="4">
        <v>45393</v>
      </c>
      <c r="I48" s="4">
        <v>45393</v>
      </c>
      <c r="J48" s="4">
        <v>45411</v>
      </c>
      <c r="M48" s="3" t="s">
        <v>374</v>
      </c>
      <c r="N48" s="3" t="s">
        <v>376</v>
      </c>
      <c r="O48" s="23"/>
    </row>
    <row r="49" spans="1:16" x14ac:dyDescent="0.15">
      <c r="A49" s="3" t="s">
        <v>135</v>
      </c>
      <c r="B49" s="4">
        <v>45399</v>
      </c>
      <c r="C49" s="3" t="s">
        <v>57</v>
      </c>
      <c r="D49" s="5">
        <v>6600</v>
      </c>
      <c r="E49" s="5" t="s">
        <v>6</v>
      </c>
      <c r="F49" s="3"/>
      <c r="G49" s="4">
        <v>45398</v>
      </c>
      <c r="H49" s="4">
        <v>45399</v>
      </c>
      <c r="I49" s="4">
        <v>45399</v>
      </c>
      <c r="J49" s="4">
        <v>45411</v>
      </c>
      <c r="M49" s="3" t="s">
        <v>375</v>
      </c>
      <c r="N49" s="3" t="s">
        <v>377</v>
      </c>
      <c r="O49" s="23">
        <v>0</v>
      </c>
      <c r="P49" t="s">
        <v>378</v>
      </c>
    </row>
    <row r="50" spans="1:16" x14ac:dyDescent="0.15">
      <c r="A50" s="3" t="s">
        <v>136</v>
      </c>
      <c r="B50" s="4">
        <v>45399</v>
      </c>
      <c r="C50" s="3" t="s">
        <v>64</v>
      </c>
      <c r="D50" s="5">
        <v>5280</v>
      </c>
      <c r="E50" s="5" t="s">
        <v>6</v>
      </c>
      <c r="F50" s="3"/>
      <c r="G50" s="4">
        <v>45398</v>
      </c>
      <c r="H50" s="4">
        <v>45399</v>
      </c>
      <c r="I50" s="4">
        <v>45399</v>
      </c>
      <c r="J50" s="4">
        <v>45399</v>
      </c>
      <c r="M50" s="3" t="s">
        <v>396</v>
      </c>
      <c r="N50" s="3" t="s">
        <v>394</v>
      </c>
      <c r="O50" s="23"/>
      <c r="P50" t="s">
        <v>395</v>
      </c>
    </row>
    <row r="51" spans="1:16" x14ac:dyDescent="0.15">
      <c r="A51" s="3" t="s">
        <v>137</v>
      </c>
      <c r="B51" s="4">
        <v>45406</v>
      </c>
      <c r="C51" s="3" t="s">
        <v>32</v>
      </c>
      <c r="D51" s="5">
        <v>37840</v>
      </c>
      <c r="E51" s="5" t="s">
        <v>6</v>
      </c>
      <c r="F51" s="3"/>
      <c r="G51" s="4">
        <v>45406</v>
      </c>
      <c r="H51" s="4">
        <v>45406</v>
      </c>
      <c r="I51" s="4">
        <v>45406</v>
      </c>
      <c r="J51" s="4">
        <v>45406</v>
      </c>
      <c r="M51" s="3" t="s">
        <v>420</v>
      </c>
      <c r="N51" s="3" t="s">
        <v>428</v>
      </c>
      <c r="O51" s="23"/>
      <c r="P51" t="s">
        <v>421</v>
      </c>
    </row>
    <row r="52" spans="1:16" x14ac:dyDescent="0.15">
      <c r="A52" s="11" t="s">
        <v>138</v>
      </c>
      <c r="B52" s="12">
        <v>45407</v>
      </c>
      <c r="C52" s="11" t="s">
        <v>32</v>
      </c>
      <c r="D52" s="13">
        <v>37840</v>
      </c>
      <c r="E52" s="13" t="s">
        <v>139</v>
      </c>
      <c r="F52" s="11"/>
      <c r="G52" s="12" t="s">
        <v>16</v>
      </c>
      <c r="H52" s="12" t="s">
        <v>16</v>
      </c>
      <c r="I52" s="12" t="s">
        <v>16</v>
      </c>
      <c r="J52" s="12" t="s">
        <v>16</v>
      </c>
      <c r="M52" s="3" t="s">
        <v>434</v>
      </c>
      <c r="N52" s="3" t="s">
        <v>433</v>
      </c>
      <c r="O52" s="23"/>
    </row>
    <row r="53" spans="1:16" x14ac:dyDescent="0.15">
      <c r="A53" s="3" t="s">
        <v>140</v>
      </c>
      <c r="B53" s="4">
        <v>45407</v>
      </c>
      <c r="C53" s="3" t="s">
        <v>67</v>
      </c>
      <c r="D53" s="5">
        <v>49280</v>
      </c>
      <c r="E53" s="5"/>
      <c r="F53" s="3"/>
      <c r="G53" s="4"/>
      <c r="H53" s="4"/>
      <c r="I53" s="4">
        <v>45520</v>
      </c>
      <c r="J53" s="4" t="s">
        <v>332</v>
      </c>
      <c r="M53" s="3" t="s">
        <v>442</v>
      </c>
      <c r="N53" s="3" t="s">
        <v>441</v>
      </c>
      <c r="O53" s="23"/>
    </row>
    <row r="54" spans="1:16" x14ac:dyDescent="0.15">
      <c r="A54" s="3" t="s">
        <v>141</v>
      </c>
      <c r="B54" s="4">
        <v>45411</v>
      </c>
      <c r="C54" s="3" t="s">
        <v>57</v>
      </c>
      <c r="D54" s="5">
        <v>4400</v>
      </c>
      <c r="E54" s="5" t="s">
        <v>6</v>
      </c>
      <c r="F54" s="3"/>
      <c r="G54" s="4">
        <v>45411</v>
      </c>
      <c r="H54" s="4">
        <v>45411</v>
      </c>
      <c r="I54" s="4">
        <v>45411</v>
      </c>
      <c r="J54" s="4">
        <v>45414</v>
      </c>
      <c r="M54" s="3" t="s">
        <v>475</v>
      </c>
      <c r="N54" s="3" t="s">
        <v>474</v>
      </c>
      <c r="O54" s="23"/>
    </row>
    <row r="55" spans="1:16" x14ac:dyDescent="0.15">
      <c r="A55" s="3" t="s">
        <v>142</v>
      </c>
      <c r="B55" s="4">
        <v>45419</v>
      </c>
      <c r="C55" s="3" t="s">
        <v>44</v>
      </c>
      <c r="D55" s="5">
        <v>55000</v>
      </c>
      <c r="E55" s="5"/>
      <c r="F55" s="3"/>
      <c r="G55" s="4">
        <v>45436</v>
      </c>
      <c r="H55" s="4"/>
      <c r="I55" s="4"/>
      <c r="J55" s="4">
        <v>45471</v>
      </c>
      <c r="M55" s="3" t="s">
        <v>481</v>
      </c>
      <c r="N55" s="3" t="s">
        <v>479</v>
      </c>
      <c r="O55" s="23">
        <v>0.05</v>
      </c>
      <c r="P55" t="s">
        <v>480</v>
      </c>
    </row>
    <row r="56" spans="1:16" x14ac:dyDescent="0.15">
      <c r="A56" s="3" t="s">
        <v>143</v>
      </c>
      <c r="B56" s="4">
        <v>45425</v>
      </c>
      <c r="C56" s="3" t="s">
        <v>70</v>
      </c>
      <c r="D56" s="5">
        <v>3300</v>
      </c>
      <c r="E56" s="5" t="s">
        <v>6</v>
      </c>
      <c r="F56" s="3"/>
      <c r="G56" s="4">
        <v>45425</v>
      </c>
      <c r="H56" s="4">
        <v>45425</v>
      </c>
      <c r="I56" s="4">
        <v>45425</v>
      </c>
      <c r="J56" s="4">
        <v>45426</v>
      </c>
      <c r="M56" s="3" t="s">
        <v>485</v>
      </c>
      <c r="N56" s="3" t="s">
        <v>484</v>
      </c>
      <c r="O56" s="23">
        <v>0.1</v>
      </c>
    </row>
    <row r="57" spans="1:16" x14ac:dyDescent="0.15">
      <c r="A57" s="3" t="s">
        <v>144</v>
      </c>
      <c r="B57" s="4">
        <v>45436</v>
      </c>
      <c r="C57" s="3" t="s">
        <v>73</v>
      </c>
      <c r="D57" s="5">
        <v>220000</v>
      </c>
      <c r="E57" s="5" t="s">
        <v>6</v>
      </c>
      <c r="F57" s="3"/>
      <c r="G57" s="4" t="s">
        <v>16</v>
      </c>
      <c r="H57" s="4" t="s">
        <v>16</v>
      </c>
      <c r="I57" s="4" t="s">
        <v>16</v>
      </c>
      <c r="J57" s="4">
        <v>45443</v>
      </c>
      <c r="M57" s="3" t="s">
        <v>508</v>
      </c>
      <c r="N57" s="3" t="s">
        <v>507</v>
      </c>
      <c r="O57" s="23"/>
    </row>
    <row r="58" spans="1:16" x14ac:dyDescent="0.15">
      <c r="A58" s="3" t="s">
        <v>145</v>
      </c>
      <c r="B58" s="4">
        <v>45436</v>
      </c>
      <c r="C58" s="3" t="s">
        <v>146</v>
      </c>
      <c r="D58" s="5">
        <v>102500</v>
      </c>
      <c r="E58" s="5" t="s">
        <v>6</v>
      </c>
      <c r="F58" s="3"/>
      <c r="G58" s="4"/>
      <c r="H58" s="4"/>
      <c r="I58" s="4"/>
      <c r="J58" s="4">
        <v>45503</v>
      </c>
      <c r="M58" s="3" t="s">
        <v>511</v>
      </c>
      <c r="N58" s="3" t="s">
        <v>518</v>
      </c>
      <c r="O58" s="23">
        <v>0.1</v>
      </c>
      <c r="P58" t="s">
        <v>517</v>
      </c>
    </row>
    <row r="59" spans="1:16" x14ac:dyDescent="0.15">
      <c r="A59" s="3" t="s">
        <v>147</v>
      </c>
      <c r="B59" s="4">
        <v>45441</v>
      </c>
      <c r="C59" s="3" t="s">
        <v>22</v>
      </c>
      <c r="D59" s="5">
        <v>22000</v>
      </c>
      <c r="E59" s="5" t="s">
        <v>7</v>
      </c>
      <c r="F59" s="3"/>
      <c r="G59" s="4">
        <v>45441</v>
      </c>
      <c r="H59" s="4">
        <v>45441</v>
      </c>
      <c r="I59" s="4">
        <v>45441</v>
      </c>
      <c r="J59" s="4">
        <v>45441</v>
      </c>
      <c r="M59" s="3" t="s">
        <v>526</v>
      </c>
      <c r="N59" s="3" t="s">
        <v>525</v>
      </c>
      <c r="O59" s="23"/>
    </row>
    <row r="60" spans="1:16" x14ac:dyDescent="0.15">
      <c r="A60" s="3" t="s">
        <v>148</v>
      </c>
      <c r="B60" s="4">
        <v>45444</v>
      </c>
      <c r="C60" s="3" t="s">
        <v>149</v>
      </c>
      <c r="D60" s="5">
        <v>21120</v>
      </c>
      <c r="E60" s="5" t="s">
        <v>6</v>
      </c>
      <c r="F60" s="3"/>
      <c r="G60" s="4">
        <v>45476</v>
      </c>
      <c r="H60" s="4">
        <v>45481</v>
      </c>
      <c r="I60" s="4">
        <v>45481</v>
      </c>
      <c r="J60" s="4">
        <v>45494</v>
      </c>
      <c r="M60" s="3"/>
      <c r="N60" s="3"/>
      <c r="O60" s="23"/>
    </row>
    <row r="61" spans="1:16" x14ac:dyDescent="0.15">
      <c r="A61" s="3" t="s">
        <v>150</v>
      </c>
      <c r="B61" s="4">
        <v>45446</v>
      </c>
      <c r="C61" s="3" t="s">
        <v>77</v>
      </c>
      <c r="D61" s="5">
        <v>360360</v>
      </c>
      <c r="E61" s="5"/>
      <c r="F61" s="3"/>
      <c r="G61" s="4">
        <v>45530</v>
      </c>
      <c r="H61" s="4">
        <v>45530</v>
      </c>
      <c r="I61" s="4">
        <v>45530</v>
      </c>
      <c r="J61" s="4">
        <v>45545</v>
      </c>
      <c r="M61" s="3"/>
      <c r="N61" s="3"/>
      <c r="O61" s="23"/>
    </row>
    <row r="62" spans="1:16" x14ac:dyDescent="0.15">
      <c r="A62" s="3" t="s">
        <v>151</v>
      </c>
      <c r="B62" s="4">
        <v>45446</v>
      </c>
      <c r="C62" s="3" t="s">
        <v>32</v>
      </c>
      <c r="D62" s="5">
        <v>54560</v>
      </c>
      <c r="E62" s="5" t="s">
        <v>6</v>
      </c>
      <c r="F62" s="3"/>
      <c r="G62" s="4"/>
      <c r="H62" s="4"/>
      <c r="I62" s="4"/>
      <c r="J62" s="4">
        <v>45471</v>
      </c>
      <c r="M62" s="3"/>
      <c r="N62" s="3"/>
      <c r="O62" s="23"/>
    </row>
    <row r="63" spans="1:16" x14ac:dyDescent="0.15">
      <c r="A63" s="3" t="s">
        <v>152</v>
      </c>
      <c r="B63" s="4">
        <v>45448</v>
      </c>
      <c r="C63" s="3" t="s">
        <v>67</v>
      </c>
      <c r="D63" s="5">
        <v>5280</v>
      </c>
      <c r="E63" s="5" t="s">
        <v>6</v>
      </c>
      <c r="F63" s="3"/>
      <c r="G63" s="4">
        <v>45448</v>
      </c>
      <c r="H63" s="4">
        <v>45448</v>
      </c>
      <c r="I63" s="4">
        <v>45448</v>
      </c>
      <c r="J63" s="4">
        <v>45450</v>
      </c>
      <c r="M63" s="3"/>
      <c r="N63" s="3"/>
      <c r="O63" s="23"/>
    </row>
    <row r="64" spans="1:16" x14ac:dyDescent="0.15">
      <c r="A64" s="3" t="s">
        <v>153</v>
      </c>
      <c r="B64" s="4">
        <v>45462</v>
      </c>
      <c r="C64" s="3" t="s">
        <v>80</v>
      </c>
      <c r="D64" s="5">
        <v>10560</v>
      </c>
      <c r="E64" s="5" t="s">
        <v>6</v>
      </c>
      <c r="F64" s="3"/>
      <c r="G64" s="4">
        <v>45462</v>
      </c>
      <c r="H64" s="4">
        <v>45463</v>
      </c>
      <c r="I64" s="4">
        <v>45463</v>
      </c>
      <c r="J64" s="4">
        <v>45465</v>
      </c>
      <c r="M64" s="3"/>
      <c r="N64" s="3"/>
      <c r="O64" s="23"/>
    </row>
    <row r="65" spans="1:15" x14ac:dyDescent="0.15">
      <c r="A65" s="11" t="s">
        <v>154</v>
      </c>
      <c r="B65" s="12">
        <v>45463</v>
      </c>
      <c r="C65" s="11" t="s">
        <v>155</v>
      </c>
      <c r="D65" s="13">
        <v>6600</v>
      </c>
      <c r="E65" s="13" t="s">
        <v>156</v>
      </c>
      <c r="F65" s="11"/>
      <c r="G65" s="12" t="s">
        <v>16</v>
      </c>
      <c r="H65" s="12" t="s">
        <v>16</v>
      </c>
      <c r="I65" s="12" t="s">
        <v>16</v>
      </c>
      <c r="J65" s="12" t="s">
        <v>16</v>
      </c>
      <c r="M65" s="3"/>
      <c r="N65" s="3"/>
      <c r="O65" s="23"/>
    </row>
    <row r="66" spans="1:15" x14ac:dyDescent="0.15">
      <c r="A66" s="3" t="s">
        <v>157</v>
      </c>
      <c r="B66" s="4">
        <v>45465</v>
      </c>
      <c r="C66" s="3" t="s">
        <v>84</v>
      </c>
      <c r="D66" s="5">
        <v>2970</v>
      </c>
      <c r="E66" s="5" t="s">
        <v>6</v>
      </c>
      <c r="F66" s="3"/>
      <c r="G66" s="4">
        <v>45463</v>
      </c>
      <c r="H66" s="4">
        <v>45465</v>
      </c>
      <c r="I66" s="4">
        <v>45465</v>
      </c>
      <c r="J66" s="4">
        <v>45466</v>
      </c>
      <c r="M66" s="3"/>
      <c r="N66" s="3"/>
      <c r="O66" s="23"/>
    </row>
    <row r="67" spans="1:15" x14ac:dyDescent="0.15">
      <c r="A67" s="3" t="s">
        <v>158</v>
      </c>
      <c r="B67" s="4">
        <v>45469</v>
      </c>
      <c r="C67" s="3" t="s">
        <v>88</v>
      </c>
      <c r="D67" s="5">
        <v>34000</v>
      </c>
      <c r="E67" s="5" t="s">
        <v>6</v>
      </c>
      <c r="F67" s="3"/>
      <c r="G67" s="4"/>
      <c r="H67" s="4"/>
      <c r="I67" s="4">
        <v>45471</v>
      </c>
      <c r="J67" s="4"/>
      <c r="M67" s="3"/>
      <c r="N67" s="3"/>
      <c r="O67" s="23"/>
    </row>
    <row r="68" spans="1:15" x14ac:dyDescent="0.15">
      <c r="A68" s="3" t="s">
        <v>159</v>
      </c>
      <c r="B68" s="4">
        <v>45471</v>
      </c>
      <c r="C68" s="3" t="s">
        <v>44</v>
      </c>
      <c r="D68" s="5">
        <v>49500</v>
      </c>
      <c r="E68" s="5"/>
      <c r="F68" s="3"/>
      <c r="G68" s="4">
        <v>45506</v>
      </c>
      <c r="H68" s="4">
        <v>45506</v>
      </c>
      <c r="I68" s="4">
        <v>45506</v>
      </c>
      <c r="J68" s="4">
        <v>45568</v>
      </c>
      <c r="M68" s="3"/>
      <c r="N68" s="3"/>
      <c r="O68" s="23"/>
    </row>
    <row r="69" spans="1:15" x14ac:dyDescent="0.15">
      <c r="A69" s="3" t="s">
        <v>160</v>
      </c>
      <c r="B69" s="4">
        <v>45471</v>
      </c>
      <c r="C69" s="3" t="s">
        <v>44</v>
      </c>
      <c r="D69" s="5">
        <v>49500</v>
      </c>
      <c r="E69" s="5"/>
      <c r="F69" s="3"/>
      <c r="G69" s="4">
        <v>45524</v>
      </c>
      <c r="H69" s="4">
        <v>45524</v>
      </c>
      <c r="I69" s="4">
        <v>45524</v>
      </c>
      <c r="J69" s="4">
        <v>45568</v>
      </c>
      <c r="M69" s="3"/>
      <c r="N69" s="3"/>
      <c r="O69" s="23"/>
    </row>
    <row r="70" spans="1:15" x14ac:dyDescent="0.15">
      <c r="A70" s="11" t="s">
        <v>161</v>
      </c>
      <c r="B70" s="12">
        <v>45473</v>
      </c>
      <c r="C70" s="11" t="s">
        <v>57</v>
      </c>
      <c r="D70" s="13">
        <v>10560</v>
      </c>
      <c r="E70" s="13" t="s">
        <v>156</v>
      </c>
      <c r="F70" s="11"/>
      <c r="G70" s="12" t="s">
        <v>16</v>
      </c>
      <c r="H70" s="12" t="s">
        <v>16</v>
      </c>
      <c r="I70" s="12" t="s">
        <v>16</v>
      </c>
      <c r="J70" s="12" t="s">
        <v>16</v>
      </c>
      <c r="M70" s="3"/>
      <c r="N70" s="3"/>
      <c r="O70" s="23"/>
    </row>
    <row r="71" spans="1:15" x14ac:dyDescent="0.15">
      <c r="A71" s="3" t="s">
        <v>162</v>
      </c>
      <c r="B71" s="4">
        <v>45475</v>
      </c>
      <c r="C71" s="3" t="s">
        <v>22</v>
      </c>
      <c r="D71" s="5">
        <v>11000</v>
      </c>
      <c r="E71" s="5" t="s">
        <v>7</v>
      </c>
      <c r="F71" s="3"/>
      <c r="G71" s="4"/>
      <c r="H71" s="4"/>
      <c r="I71" s="4"/>
      <c r="J71" s="4">
        <v>45475</v>
      </c>
      <c r="M71" s="3"/>
      <c r="N71" s="3"/>
      <c r="O71" s="23"/>
    </row>
    <row r="72" spans="1:15" x14ac:dyDescent="0.15">
      <c r="A72" s="3" t="s">
        <v>163</v>
      </c>
      <c r="B72" s="4">
        <v>45481</v>
      </c>
      <c r="C72" s="3" t="s">
        <v>92</v>
      </c>
      <c r="D72" s="5">
        <v>107800</v>
      </c>
      <c r="E72" s="5" t="s">
        <v>6</v>
      </c>
      <c r="F72" s="3" t="s">
        <v>164</v>
      </c>
      <c r="G72" s="4">
        <v>45473</v>
      </c>
      <c r="H72" s="4">
        <v>45481</v>
      </c>
      <c r="I72" s="4">
        <v>45481</v>
      </c>
      <c r="J72" s="4">
        <v>45481</v>
      </c>
      <c r="M72" s="3"/>
      <c r="N72" s="3"/>
      <c r="O72" s="23"/>
    </row>
    <row r="73" spans="1:15" x14ac:dyDescent="0.15">
      <c r="A73" s="3" t="s">
        <v>190</v>
      </c>
      <c r="B73" s="4">
        <v>45493</v>
      </c>
      <c r="C73" s="3" t="s">
        <v>96</v>
      </c>
      <c r="D73" s="5">
        <v>880000</v>
      </c>
      <c r="E73" s="5"/>
      <c r="F73" s="3"/>
      <c r="G73" s="4"/>
      <c r="H73" s="4"/>
      <c r="I73" s="4"/>
      <c r="J73" s="4">
        <v>45545</v>
      </c>
      <c r="M73" s="3"/>
      <c r="N73" s="3"/>
      <c r="O73" s="23"/>
    </row>
    <row r="74" spans="1:15" x14ac:dyDescent="0.15">
      <c r="A74" s="3" t="s">
        <v>165</v>
      </c>
      <c r="B74" s="4">
        <v>45493</v>
      </c>
      <c r="C74" s="3" t="s">
        <v>96</v>
      </c>
      <c r="D74" s="5">
        <v>330000</v>
      </c>
      <c r="E74" s="5"/>
      <c r="F74" s="3"/>
      <c r="G74" s="4"/>
      <c r="H74" s="4"/>
      <c r="I74" s="4"/>
      <c r="J74" s="4">
        <v>45545</v>
      </c>
      <c r="M74" s="3"/>
      <c r="N74" s="3"/>
      <c r="O74" s="23"/>
    </row>
    <row r="75" spans="1:15" x14ac:dyDescent="0.15">
      <c r="A75" s="3" t="s">
        <v>166</v>
      </c>
      <c r="B75" s="4">
        <v>45496</v>
      </c>
      <c r="C75" s="3" t="s">
        <v>92</v>
      </c>
      <c r="D75" s="5">
        <v>97020</v>
      </c>
      <c r="E75" s="5" t="s">
        <v>6</v>
      </c>
      <c r="F75" s="3" t="s">
        <v>167</v>
      </c>
      <c r="G75" s="4">
        <v>45496</v>
      </c>
      <c r="H75" s="4">
        <v>45496</v>
      </c>
      <c r="I75" s="4">
        <v>45496</v>
      </c>
      <c r="J75" s="4">
        <v>45498</v>
      </c>
      <c r="M75" s="3"/>
      <c r="N75" s="3"/>
      <c r="O75" s="23"/>
    </row>
    <row r="76" spans="1:15" x14ac:dyDescent="0.15">
      <c r="A76" s="3" t="s">
        <v>168</v>
      </c>
      <c r="B76" s="4">
        <v>45502</v>
      </c>
      <c r="C76" s="3" t="s">
        <v>169</v>
      </c>
      <c r="D76" s="5">
        <v>13200</v>
      </c>
      <c r="E76" s="5" t="s">
        <v>6</v>
      </c>
      <c r="F76" s="3"/>
      <c r="G76" s="4" t="s">
        <v>16</v>
      </c>
      <c r="H76" s="4" t="s">
        <v>16</v>
      </c>
      <c r="I76" s="4" t="s">
        <v>16</v>
      </c>
      <c r="J76" s="4">
        <v>45505</v>
      </c>
      <c r="M76" s="3"/>
      <c r="N76" s="3"/>
      <c r="O76" s="23"/>
    </row>
    <row r="77" spans="1:15" x14ac:dyDescent="0.15">
      <c r="A77" s="3" t="s">
        <v>170</v>
      </c>
      <c r="B77" s="4">
        <v>45505</v>
      </c>
      <c r="C77" s="3" t="s">
        <v>22</v>
      </c>
      <c r="D77" s="5">
        <v>11000</v>
      </c>
      <c r="E77" s="5" t="s">
        <v>7</v>
      </c>
      <c r="F77" s="3"/>
      <c r="G77" s="4" t="s">
        <v>16</v>
      </c>
      <c r="H77" s="4" t="s">
        <v>16</v>
      </c>
      <c r="I77" s="4" t="s">
        <v>16</v>
      </c>
      <c r="J77" s="4">
        <v>45505</v>
      </c>
      <c r="M77" s="3"/>
      <c r="N77" s="3"/>
      <c r="O77" s="23"/>
    </row>
    <row r="78" spans="1:15" x14ac:dyDescent="0.15">
      <c r="A78" s="3" t="s">
        <v>171</v>
      </c>
      <c r="B78" s="4">
        <v>45505</v>
      </c>
      <c r="C78" s="3" t="s">
        <v>172</v>
      </c>
      <c r="D78" s="5">
        <v>1650</v>
      </c>
      <c r="E78" s="5" t="s">
        <v>7</v>
      </c>
      <c r="F78" s="3"/>
      <c r="G78" s="4" t="s">
        <v>16</v>
      </c>
      <c r="H78" s="4" t="s">
        <v>16</v>
      </c>
      <c r="I78" s="4" t="s">
        <v>16</v>
      </c>
      <c r="J78" s="4">
        <v>45505</v>
      </c>
      <c r="M78" s="3"/>
      <c r="N78" s="3"/>
      <c r="O78" s="23"/>
    </row>
    <row r="79" spans="1:15" x14ac:dyDescent="0.15">
      <c r="A79" s="3" t="s">
        <v>173</v>
      </c>
      <c r="B79" s="4">
        <v>45506</v>
      </c>
      <c r="C79" s="3" t="s">
        <v>47</v>
      </c>
      <c r="D79" s="5">
        <v>10560</v>
      </c>
      <c r="E79" s="5" t="s">
        <v>6</v>
      </c>
      <c r="F79" s="3"/>
      <c r="G79" s="4">
        <v>45506</v>
      </c>
      <c r="H79" s="4">
        <v>45506</v>
      </c>
      <c r="I79" s="4">
        <v>45506</v>
      </c>
      <c r="J79" s="4">
        <v>45507</v>
      </c>
      <c r="M79" s="3"/>
      <c r="N79" s="3"/>
      <c r="O79" s="23"/>
    </row>
    <row r="80" spans="1:15" x14ac:dyDescent="0.15">
      <c r="A80" s="11" t="s">
        <v>174</v>
      </c>
      <c r="B80" s="12">
        <v>45513</v>
      </c>
      <c r="C80" s="11" t="s">
        <v>103</v>
      </c>
      <c r="D80" s="13"/>
      <c r="E80" s="13" t="s">
        <v>156</v>
      </c>
      <c r="F80" s="11"/>
      <c r="G80" s="12" t="s">
        <v>16</v>
      </c>
      <c r="H80" s="12" t="s">
        <v>16</v>
      </c>
      <c r="I80" s="12" t="s">
        <v>16</v>
      </c>
      <c r="J80" s="12" t="s">
        <v>16</v>
      </c>
      <c r="M80" s="3"/>
      <c r="N80" s="3"/>
      <c r="O80" s="23"/>
    </row>
    <row r="81" spans="1:15" x14ac:dyDescent="0.15">
      <c r="A81" s="3" t="s">
        <v>175</v>
      </c>
      <c r="B81" s="4">
        <v>45513</v>
      </c>
      <c r="C81" s="3" t="s">
        <v>57</v>
      </c>
      <c r="D81" s="5">
        <v>26400</v>
      </c>
      <c r="E81" s="5"/>
      <c r="F81" s="3"/>
      <c r="G81" s="4"/>
      <c r="H81" s="4"/>
      <c r="I81" s="4"/>
      <c r="J81" s="4">
        <v>45568</v>
      </c>
      <c r="M81" s="3"/>
      <c r="N81" s="3"/>
      <c r="O81" s="23"/>
    </row>
    <row r="82" spans="1:15" x14ac:dyDescent="0.15">
      <c r="A82" s="17" t="s">
        <v>176</v>
      </c>
      <c r="B82" s="18"/>
      <c r="C82" s="17" t="s">
        <v>92</v>
      </c>
      <c r="D82" s="19"/>
      <c r="E82" s="13" t="s">
        <v>156</v>
      </c>
      <c r="F82" s="17" t="s">
        <v>164</v>
      </c>
      <c r="G82" s="18"/>
      <c r="H82" s="18"/>
      <c r="I82" s="18"/>
      <c r="J82" s="18" t="s">
        <v>332</v>
      </c>
      <c r="M82" s="3"/>
      <c r="N82" s="3"/>
      <c r="O82" s="23"/>
    </row>
    <row r="83" spans="1:15" x14ac:dyDescent="0.15">
      <c r="A83" s="3" t="s">
        <v>177</v>
      </c>
      <c r="B83" s="4">
        <v>45523</v>
      </c>
      <c r="C83" s="3" t="s">
        <v>57</v>
      </c>
      <c r="D83" s="5">
        <v>6600</v>
      </c>
      <c r="E83" s="5"/>
      <c r="F83" s="3"/>
      <c r="G83" s="4"/>
      <c r="H83" s="4"/>
      <c r="I83" s="4"/>
      <c r="J83" s="4" t="s">
        <v>332</v>
      </c>
      <c r="M83" s="3"/>
      <c r="N83" s="3"/>
      <c r="O83" s="23"/>
    </row>
    <row r="84" spans="1:15" x14ac:dyDescent="0.15">
      <c r="A84" s="3" t="s">
        <v>178</v>
      </c>
      <c r="B84" s="4">
        <v>45524</v>
      </c>
      <c r="C84" s="3" t="s">
        <v>107</v>
      </c>
      <c r="D84" s="5">
        <v>8000</v>
      </c>
      <c r="E84" s="5" t="s">
        <v>6</v>
      </c>
      <c r="F84" s="3"/>
      <c r="G84" s="4">
        <v>45524</v>
      </c>
      <c r="H84" s="4">
        <v>45524</v>
      </c>
      <c r="I84" s="4">
        <v>45524</v>
      </c>
      <c r="J84" s="4">
        <v>45534</v>
      </c>
      <c r="M84" s="3"/>
      <c r="N84" s="3"/>
      <c r="O84" s="23"/>
    </row>
    <row r="85" spans="1:15" x14ac:dyDescent="0.15">
      <c r="A85" s="3" t="s">
        <v>179</v>
      </c>
      <c r="B85" s="4">
        <v>45525</v>
      </c>
      <c r="C85" s="3" t="s">
        <v>92</v>
      </c>
      <c r="D85" s="5"/>
      <c r="E85" s="5"/>
      <c r="F85" s="3"/>
      <c r="G85" s="4"/>
      <c r="H85" s="4"/>
      <c r="I85" s="4"/>
      <c r="J85" s="4" t="s">
        <v>332</v>
      </c>
      <c r="M85" s="3"/>
      <c r="N85" s="3"/>
      <c r="O85" s="23"/>
    </row>
    <row r="86" spans="1:15" x14ac:dyDescent="0.15">
      <c r="A86" s="3" t="s">
        <v>180</v>
      </c>
      <c r="B86" s="4">
        <v>45526</v>
      </c>
      <c r="C86" s="3" t="s">
        <v>216</v>
      </c>
      <c r="D86" s="5">
        <v>118800</v>
      </c>
      <c r="E86" s="5" t="s">
        <v>6</v>
      </c>
      <c r="F86" s="3" t="s">
        <v>181</v>
      </c>
      <c r="G86" s="4">
        <v>45525</v>
      </c>
      <c r="H86" s="4">
        <v>45525</v>
      </c>
      <c r="I86" s="4">
        <v>45525</v>
      </c>
      <c r="J86" s="4" t="s">
        <v>189</v>
      </c>
      <c r="K86" t="s">
        <v>182</v>
      </c>
      <c r="M86" s="3"/>
      <c r="N86" s="3"/>
      <c r="O86" s="23"/>
    </row>
    <row r="87" spans="1:15" x14ac:dyDescent="0.15">
      <c r="A87" s="3" t="s">
        <v>183</v>
      </c>
      <c r="B87" s="4">
        <v>45531</v>
      </c>
      <c r="C87" s="3" t="s">
        <v>80</v>
      </c>
      <c r="D87" s="5"/>
      <c r="E87" s="5"/>
      <c r="F87" s="3"/>
      <c r="G87" s="4"/>
      <c r="H87" s="4"/>
      <c r="I87" s="4"/>
      <c r="J87" s="4" t="s">
        <v>332</v>
      </c>
      <c r="M87" s="3"/>
      <c r="N87" s="3"/>
      <c r="O87" s="23"/>
    </row>
    <row r="88" spans="1:15" x14ac:dyDescent="0.15">
      <c r="A88" s="3" t="s">
        <v>184</v>
      </c>
      <c r="B88" s="4">
        <v>45532</v>
      </c>
      <c r="C88" s="3" t="s">
        <v>111</v>
      </c>
      <c r="D88" s="5">
        <v>33000</v>
      </c>
      <c r="E88" s="5" t="s">
        <v>6</v>
      </c>
      <c r="F88" s="3"/>
      <c r="G88" s="4">
        <v>45532</v>
      </c>
      <c r="H88" s="4">
        <v>45532</v>
      </c>
      <c r="I88" s="4">
        <v>45532</v>
      </c>
      <c r="J88" s="4">
        <v>45545</v>
      </c>
      <c r="K88" t="s">
        <v>182</v>
      </c>
      <c r="M88" s="3"/>
      <c r="N88" s="3"/>
      <c r="O88" s="23"/>
    </row>
    <row r="89" spans="1:15" x14ac:dyDescent="0.15">
      <c r="A89" s="3" t="s">
        <v>185</v>
      </c>
      <c r="B89" s="4">
        <v>45532</v>
      </c>
      <c r="C89" s="3" t="s">
        <v>186</v>
      </c>
      <c r="D89" s="5"/>
      <c r="E89" s="5" t="s">
        <v>187</v>
      </c>
      <c r="F89" s="3"/>
      <c r="G89" s="4"/>
      <c r="H89" s="4"/>
      <c r="I89" s="4"/>
      <c r="J89" s="4" t="s">
        <v>332</v>
      </c>
      <c r="M89" s="3"/>
      <c r="N89" s="3"/>
      <c r="O89" s="23"/>
    </row>
    <row r="90" spans="1:15" x14ac:dyDescent="0.15">
      <c r="A90" s="3" t="s">
        <v>188</v>
      </c>
      <c r="B90" s="4">
        <v>45544</v>
      </c>
      <c r="C90" s="3" t="s">
        <v>22</v>
      </c>
      <c r="D90" s="5">
        <v>11000</v>
      </c>
      <c r="E90" s="5" t="s">
        <v>7</v>
      </c>
      <c r="F90" s="3"/>
      <c r="G90" s="4" t="s">
        <v>189</v>
      </c>
      <c r="H90" s="4" t="s">
        <v>189</v>
      </c>
      <c r="I90" s="4" t="s">
        <v>189</v>
      </c>
      <c r="J90" s="4">
        <v>45544</v>
      </c>
      <c r="M90" s="3"/>
      <c r="N90" s="3"/>
      <c r="O90" s="23"/>
    </row>
    <row r="91" spans="1:15" x14ac:dyDescent="0.15">
      <c r="A91" s="3" t="s">
        <v>191</v>
      </c>
      <c r="B91" s="4">
        <v>45547</v>
      </c>
      <c r="C91" s="3" t="s">
        <v>192</v>
      </c>
      <c r="D91" s="5">
        <v>26400</v>
      </c>
      <c r="E91" s="5" t="s">
        <v>194</v>
      </c>
      <c r="F91" s="3"/>
      <c r="G91" s="4" t="s">
        <v>193</v>
      </c>
      <c r="H91" s="4" t="s">
        <v>193</v>
      </c>
      <c r="I91" s="4">
        <v>45547</v>
      </c>
      <c r="J91" s="4" t="s">
        <v>332</v>
      </c>
      <c r="M91" s="3"/>
      <c r="N91" s="3"/>
      <c r="O91" s="23"/>
    </row>
    <row r="92" spans="1:15" x14ac:dyDescent="0.15">
      <c r="A92" s="3" t="s">
        <v>237</v>
      </c>
      <c r="B92" s="4"/>
      <c r="C92" s="3" t="s">
        <v>22</v>
      </c>
      <c r="D92" s="5"/>
      <c r="E92" s="5" t="s">
        <v>7</v>
      </c>
      <c r="F92" s="3"/>
      <c r="G92" s="4"/>
      <c r="H92" s="4"/>
      <c r="I92" s="4"/>
      <c r="J92" s="4" t="s">
        <v>332</v>
      </c>
      <c r="M92" s="3"/>
      <c r="N92" s="3"/>
      <c r="O92" s="23"/>
    </row>
    <row r="93" spans="1:15" x14ac:dyDescent="0.15">
      <c r="A93" s="3" t="s">
        <v>199</v>
      </c>
      <c r="B93" s="4">
        <v>45568</v>
      </c>
      <c r="C93" s="3" t="s">
        <v>198</v>
      </c>
      <c r="D93" s="5">
        <v>19800</v>
      </c>
      <c r="E93" s="5" t="s">
        <v>6</v>
      </c>
      <c r="F93" s="3"/>
      <c r="G93" s="4"/>
      <c r="H93" s="4"/>
      <c r="I93" s="4"/>
      <c r="J93" s="4" t="s">
        <v>332</v>
      </c>
      <c r="M93" s="3"/>
      <c r="N93" s="3"/>
      <c r="O93" s="23"/>
    </row>
    <row r="94" spans="1:15" x14ac:dyDescent="0.15">
      <c r="A94" s="11" t="s">
        <v>203</v>
      </c>
      <c r="B94" s="12">
        <v>45569</v>
      </c>
      <c r="C94" s="11" t="s">
        <v>202</v>
      </c>
      <c r="D94" s="13">
        <v>990000</v>
      </c>
      <c r="E94" s="13" t="s">
        <v>204</v>
      </c>
      <c r="F94" s="11"/>
      <c r="G94" s="12"/>
      <c r="H94" s="12"/>
      <c r="I94" s="12"/>
      <c r="J94" s="12"/>
      <c r="M94" s="3"/>
      <c r="N94" s="3"/>
      <c r="O94" s="23"/>
    </row>
    <row r="95" spans="1:15" x14ac:dyDescent="0.15">
      <c r="A95" s="17" t="s">
        <v>205</v>
      </c>
      <c r="B95" s="18">
        <v>45570</v>
      </c>
      <c r="C95" s="17" t="s">
        <v>200</v>
      </c>
      <c r="D95" s="19">
        <v>29700</v>
      </c>
      <c r="E95" s="19"/>
      <c r="F95" s="17"/>
      <c r="G95" s="18"/>
      <c r="H95" s="18"/>
      <c r="I95" s="18"/>
      <c r="J95" s="18" t="s">
        <v>332</v>
      </c>
      <c r="M95" s="3"/>
      <c r="N95" s="3"/>
      <c r="O95" s="23"/>
    </row>
    <row r="96" spans="1:15" x14ac:dyDescent="0.15">
      <c r="A96" s="3" t="s">
        <v>211</v>
      </c>
      <c r="B96" s="4">
        <v>45576</v>
      </c>
      <c r="C96" s="3" t="s">
        <v>207</v>
      </c>
      <c r="D96" s="5">
        <v>3300</v>
      </c>
      <c r="E96" s="5" t="s">
        <v>212</v>
      </c>
      <c r="F96" s="3"/>
      <c r="G96" s="4"/>
      <c r="H96" s="4"/>
      <c r="I96" s="4"/>
      <c r="J96" s="4" t="s">
        <v>332</v>
      </c>
      <c r="M96" s="3"/>
      <c r="N96" s="3"/>
      <c r="O96" s="23"/>
    </row>
    <row r="97" spans="1:15" x14ac:dyDescent="0.15">
      <c r="A97" s="3" t="s">
        <v>209</v>
      </c>
      <c r="B97" s="4">
        <v>45575</v>
      </c>
      <c r="C97" s="3" t="s">
        <v>208</v>
      </c>
      <c r="D97" s="5">
        <v>69300</v>
      </c>
      <c r="E97" s="5" t="s">
        <v>6</v>
      </c>
      <c r="F97" s="3"/>
      <c r="G97" s="4">
        <v>45575</v>
      </c>
      <c r="H97" s="4">
        <v>45575</v>
      </c>
      <c r="I97" s="4">
        <v>45575</v>
      </c>
      <c r="J97" s="4" t="s">
        <v>332</v>
      </c>
      <c r="M97" s="3"/>
      <c r="N97" s="3"/>
      <c r="O97" s="23"/>
    </row>
    <row r="98" spans="1:15" x14ac:dyDescent="0.15">
      <c r="A98" s="3" t="s">
        <v>215</v>
      </c>
      <c r="B98" s="4">
        <v>45586</v>
      </c>
      <c r="C98" s="3" t="s">
        <v>214</v>
      </c>
      <c r="D98" s="5">
        <v>561000</v>
      </c>
      <c r="E98" s="5"/>
      <c r="F98" s="3"/>
      <c r="G98" s="4"/>
      <c r="H98" s="4"/>
      <c r="I98" s="4"/>
      <c r="J98" s="4" t="s">
        <v>332</v>
      </c>
      <c r="M98" s="3"/>
      <c r="N98" s="3"/>
      <c r="O98" s="23"/>
    </row>
    <row r="99" spans="1:15" x14ac:dyDescent="0.15">
      <c r="A99" s="3" t="s">
        <v>217</v>
      </c>
      <c r="B99" s="4">
        <v>45586</v>
      </c>
      <c r="C99" s="3" t="s">
        <v>216</v>
      </c>
      <c r="D99" s="5">
        <v>59400</v>
      </c>
      <c r="E99" s="5" t="s">
        <v>219</v>
      </c>
      <c r="F99" s="3" t="s">
        <v>218</v>
      </c>
      <c r="G99" s="4"/>
      <c r="H99" s="4"/>
      <c r="I99" s="4"/>
      <c r="J99" s="4" t="s">
        <v>332</v>
      </c>
      <c r="M99" s="3"/>
      <c r="N99" s="3"/>
      <c r="O99" s="23"/>
    </row>
    <row r="100" spans="1:15" x14ac:dyDescent="0.15">
      <c r="A100" s="3" t="s">
        <v>221</v>
      </c>
      <c r="B100" s="4">
        <v>45589</v>
      </c>
      <c r="C100" s="3" t="s">
        <v>220</v>
      </c>
      <c r="D100" s="5">
        <v>6600</v>
      </c>
      <c r="E100" s="5"/>
      <c r="F100" s="3"/>
      <c r="G100" s="4"/>
      <c r="H100" s="4"/>
      <c r="I100" s="4"/>
      <c r="J100" s="4" t="s">
        <v>332</v>
      </c>
      <c r="M100" s="3"/>
      <c r="N100" s="3"/>
      <c r="O100" s="23"/>
    </row>
    <row r="101" spans="1:15" x14ac:dyDescent="0.15">
      <c r="A101" s="3" t="s">
        <v>223</v>
      </c>
      <c r="B101" s="4">
        <v>45590</v>
      </c>
      <c r="C101" s="3" t="s">
        <v>222</v>
      </c>
      <c r="D101" s="5">
        <v>88000</v>
      </c>
      <c r="E101" s="5" t="s">
        <v>224</v>
      </c>
      <c r="F101" s="3"/>
      <c r="G101" s="4">
        <v>45590</v>
      </c>
      <c r="H101" s="4">
        <v>45590</v>
      </c>
      <c r="I101" s="4">
        <v>45590</v>
      </c>
      <c r="J101" s="4">
        <v>45596</v>
      </c>
      <c r="M101" s="3"/>
      <c r="N101" s="3"/>
      <c r="O101" s="23"/>
    </row>
    <row r="102" spans="1:15" x14ac:dyDescent="0.15">
      <c r="A102" s="3" t="s">
        <v>227</v>
      </c>
      <c r="B102" s="4">
        <v>45594</v>
      </c>
      <c r="C102" s="3" t="s">
        <v>225</v>
      </c>
      <c r="D102" s="5">
        <v>11880</v>
      </c>
      <c r="E102" s="5" t="s">
        <v>228</v>
      </c>
      <c r="F102" s="3"/>
      <c r="G102" s="4">
        <v>45594</v>
      </c>
      <c r="H102" s="4">
        <v>45594</v>
      </c>
      <c r="I102" s="4">
        <v>45594</v>
      </c>
      <c r="J102" s="4">
        <v>45596</v>
      </c>
      <c r="M102" s="3"/>
      <c r="N102" s="3"/>
      <c r="O102" s="23"/>
    </row>
    <row r="103" spans="1:15" x14ac:dyDescent="0.15">
      <c r="A103" s="3" t="s">
        <v>232</v>
      </c>
      <c r="B103" s="4">
        <v>45596</v>
      </c>
      <c r="C103" s="3" t="s">
        <v>229</v>
      </c>
      <c r="D103" s="5">
        <v>39600</v>
      </c>
      <c r="E103" s="5" t="s">
        <v>6</v>
      </c>
      <c r="F103" s="3"/>
      <c r="G103" s="4">
        <v>45595</v>
      </c>
      <c r="H103" s="4">
        <v>45595</v>
      </c>
      <c r="I103" s="4">
        <v>45595</v>
      </c>
      <c r="J103" s="4">
        <v>45630</v>
      </c>
      <c r="M103" s="3"/>
      <c r="N103" s="3"/>
      <c r="O103" s="23"/>
    </row>
    <row r="104" spans="1:15" x14ac:dyDescent="0.15">
      <c r="A104" s="3" t="s">
        <v>236</v>
      </c>
      <c r="B104" s="4">
        <v>45604</v>
      </c>
      <c r="C104" s="3" t="s">
        <v>235</v>
      </c>
      <c r="D104" s="5">
        <v>17820</v>
      </c>
      <c r="E104" s="5" t="s">
        <v>6</v>
      </c>
      <c r="F104" s="3"/>
      <c r="G104" s="4"/>
      <c r="H104" s="4"/>
      <c r="I104" s="4"/>
      <c r="J104" s="4" t="s">
        <v>332</v>
      </c>
      <c r="M104" s="3"/>
      <c r="N104" s="3"/>
      <c r="O104" s="23"/>
    </row>
    <row r="105" spans="1:15" x14ac:dyDescent="0.15">
      <c r="A105" s="3" t="s">
        <v>240</v>
      </c>
      <c r="B105" s="4">
        <v>45603</v>
      </c>
      <c r="C105" s="3" t="s">
        <v>22</v>
      </c>
      <c r="D105" s="5">
        <v>11000</v>
      </c>
      <c r="E105" s="5" t="s">
        <v>7</v>
      </c>
      <c r="F105" s="3" t="s">
        <v>239</v>
      </c>
      <c r="G105" s="4"/>
      <c r="H105" s="4"/>
      <c r="I105" s="4"/>
      <c r="J105" s="4">
        <v>45633</v>
      </c>
      <c r="M105" s="3"/>
      <c r="N105" s="3"/>
      <c r="O105" s="23"/>
    </row>
    <row r="106" spans="1:15" x14ac:dyDescent="0.15">
      <c r="A106" s="3" t="s">
        <v>241</v>
      </c>
      <c r="B106" s="4">
        <v>45604</v>
      </c>
      <c r="C106" s="3" t="s">
        <v>22</v>
      </c>
      <c r="D106" s="5">
        <v>11000</v>
      </c>
      <c r="E106" s="5" t="s">
        <v>7</v>
      </c>
      <c r="F106" s="3" t="s">
        <v>238</v>
      </c>
      <c r="G106" s="4"/>
      <c r="H106" s="4"/>
      <c r="I106" s="4"/>
      <c r="J106" s="4">
        <v>45633</v>
      </c>
      <c r="M106" s="3"/>
      <c r="N106" s="3"/>
      <c r="O106" s="23"/>
    </row>
    <row r="107" spans="1:15" x14ac:dyDescent="0.15">
      <c r="A107" s="3" t="s">
        <v>264</v>
      </c>
      <c r="B107" s="4">
        <v>45609</v>
      </c>
      <c r="C107" s="3" t="s">
        <v>242</v>
      </c>
      <c r="D107" s="5">
        <v>22000</v>
      </c>
      <c r="E107" s="5" t="s">
        <v>263</v>
      </c>
      <c r="F107" s="3" t="s">
        <v>243</v>
      </c>
      <c r="G107" s="4"/>
      <c r="H107" s="4"/>
      <c r="I107" s="4"/>
      <c r="J107" s="4" t="s">
        <v>332</v>
      </c>
      <c r="M107" s="3"/>
      <c r="N107" s="3"/>
      <c r="O107" s="23"/>
    </row>
    <row r="108" spans="1:15" x14ac:dyDescent="0.15">
      <c r="A108" s="3" t="s">
        <v>244</v>
      </c>
      <c r="B108" s="4"/>
      <c r="C108" s="3" t="s">
        <v>92</v>
      </c>
      <c r="D108" s="5">
        <v>189200</v>
      </c>
      <c r="E108" s="5" t="s">
        <v>6</v>
      </c>
      <c r="F108" s="3" t="s">
        <v>164</v>
      </c>
      <c r="G108" s="4"/>
      <c r="H108" s="4"/>
      <c r="I108" s="4"/>
      <c r="J108" s="4">
        <v>45635</v>
      </c>
      <c r="M108" s="3"/>
      <c r="N108" s="3"/>
      <c r="O108" s="23"/>
    </row>
    <row r="109" spans="1:15" x14ac:dyDescent="0.15">
      <c r="A109" s="3" t="s">
        <v>246</v>
      </c>
      <c r="B109" s="4">
        <v>45624</v>
      </c>
      <c r="C109" s="3" t="s">
        <v>245</v>
      </c>
      <c r="D109" s="5">
        <v>10560</v>
      </c>
      <c r="E109" s="5" t="s">
        <v>6</v>
      </c>
      <c r="F109" s="3"/>
      <c r="G109" s="4">
        <v>45624</v>
      </c>
      <c r="H109" s="4">
        <v>45624</v>
      </c>
      <c r="I109" s="4">
        <v>45624</v>
      </c>
      <c r="J109" s="4">
        <v>45625</v>
      </c>
      <c r="M109" s="3"/>
      <c r="N109" s="3"/>
      <c r="O109" s="23"/>
    </row>
    <row r="110" spans="1:15" x14ac:dyDescent="0.15">
      <c r="A110" s="3" t="s">
        <v>247</v>
      </c>
      <c r="B110" s="4">
        <v>45624</v>
      </c>
      <c r="C110" s="3" t="s">
        <v>225</v>
      </c>
      <c r="D110" s="5">
        <v>49500</v>
      </c>
      <c r="E110" s="5"/>
      <c r="F110" s="3"/>
      <c r="G110" s="4"/>
      <c r="H110" s="4"/>
      <c r="I110" s="4"/>
      <c r="J110" s="4" t="s">
        <v>332</v>
      </c>
      <c r="M110" s="3"/>
      <c r="N110" s="3"/>
      <c r="O110" s="23"/>
    </row>
    <row r="111" spans="1:15" x14ac:dyDescent="0.15">
      <c r="A111" s="3" t="s">
        <v>248</v>
      </c>
      <c r="B111" s="4">
        <v>45624</v>
      </c>
      <c r="C111" s="3" t="s">
        <v>225</v>
      </c>
      <c r="D111" s="5">
        <v>26730</v>
      </c>
      <c r="E111" s="5" t="s">
        <v>262</v>
      </c>
      <c r="F111" s="3"/>
      <c r="G111" s="4"/>
      <c r="H111" s="4"/>
      <c r="I111" s="4"/>
      <c r="J111" s="4" t="s">
        <v>332</v>
      </c>
      <c r="M111" s="3"/>
      <c r="N111" s="3"/>
      <c r="O111" s="23"/>
    </row>
    <row r="112" spans="1:15" x14ac:dyDescent="0.15">
      <c r="A112" s="3" t="s">
        <v>250</v>
      </c>
      <c r="B112" s="4">
        <v>45628</v>
      </c>
      <c r="C112" s="3" t="s">
        <v>249</v>
      </c>
      <c r="D112" s="5">
        <v>22000</v>
      </c>
      <c r="E112" s="5" t="s">
        <v>251</v>
      </c>
      <c r="F112" s="3"/>
      <c r="G112" s="4"/>
      <c r="H112" s="4"/>
      <c r="I112" s="4"/>
      <c r="J112" s="4">
        <v>45630</v>
      </c>
      <c r="M112" s="3"/>
      <c r="N112" s="3"/>
      <c r="O112" s="23"/>
    </row>
    <row r="113" spans="1:15" x14ac:dyDescent="0.15">
      <c r="A113" s="3" t="s">
        <v>253</v>
      </c>
      <c r="B113" s="4">
        <v>45629</v>
      </c>
      <c r="C113" s="3" t="s">
        <v>252</v>
      </c>
      <c r="D113" s="5">
        <v>13200</v>
      </c>
      <c r="E113" s="5" t="s">
        <v>6</v>
      </c>
      <c r="F113" s="3"/>
      <c r="G113" s="4"/>
      <c r="H113" s="4"/>
      <c r="I113" s="4"/>
      <c r="J113" s="4">
        <v>45632</v>
      </c>
      <c r="M113" s="3"/>
      <c r="N113" s="3"/>
      <c r="O113" s="23"/>
    </row>
    <row r="114" spans="1:15" x14ac:dyDescent="0.15">
      <c r="A114" s="3" t="s">
        <v>254</v>
      </c>
      <c r="B114" s="4">
        <v>45633</v>
      </c>
      <c r="C114" s="3" t="s">
        <v>22</v>
      </c>
      <c r="D114" s="5">
        <v>11000</v>
      </c>
      <c r="E114" s="5" t="s">
        <v>7</v>
      </c>
      <c r="F114" s="3" t="s">
        <v>255</v>
      </c>
      <c r="G114" s="4"/>
      <c r="H114" s="4"/>
      <c r="I114" s="4"/>
      <c r="J114" s="4">
        <v>45633</v>
      </c>
      <c r="M114" s="3"/>
      <c r="N114" s="3"/>
      <c r="O114" s="23"/>
    </row>
    <row r="115" spans="1:15" x14ac:dyDescent="0.15">
      <c r="A115" s="3" t="s">
        <v>259</v>
      </c>
      <c r="B115" s="4">
        <v>45633</v>
      </c>
      <c r="C115" s="3" t="s">
        <v>256</v>
      </c>
      <c r="D115" s="5">
        <v>60000</v>
      </c>
      <c r="E115" s="5" t="s">
        <v>6</v>
      </c>
      <c r="F115" s="3"/>
      <c r="G115" s="4">
        <v>45633</v>
      </c>
      <c r="H115" s="4">
        <v>45633</v>
      </c>
      <c r="I115" s="4">
        <v>45633</v>
      </c>
      <c r="J115" s="4">
        <v>45643</v>
      </c>
      <c r="M115" s="3"/>
      <c r="N115" s="3"/>
      <c r="O115" s="23"/>
    </row>
    <row r="116" spans="1:15" x14ac:dyDescent="0.15">
      <c r="A116" s="3" t="s">
        <v>261</v>
      </c>
      <c r="B116" s="4">
        <v>45636</v>
      </c>
      <c r="C116" s="3" t="s">
        <v>260</v>
      </c>
      <c r="D116" s="5">
        <v>6600</v>
      </c>
      <c r="E116" s="5"/>
      <c r="F116" s="3"/>
      <c r="G116" s="4"/>
      <c r="H116" s="4"/>
      <c r="I116" s="4"/>
      <c r="J116" s="4">
        <v>45631</v>
      </c>
      <c r="M116" s="3"/>
      <c r="N116" s="3"/>
      <c r="O116" s="23"/>
    </row>
    <row r="117" spans="1:15" x14ac:dyDescent="0.15">
      <c r="A117" s="3" t="s">
        <v>266</v>
      </c>
      <c r="B117" s="4">
        <v>45639</v>
      </c>
      <c r="C117" s="3" t="s">
        <v>265</v>
      </c>
      <c r="D117" s="5">
        <v>52800</v>
      </c>
      <c r="E117" s="5"/>
      <c r="F117" s="3"/>
      <c r="G117" s="4">
        <v>45639</v>
      </c>
      <c r="H117" s="4">
        <v>45639</v>
      </c>
      <c r="I117" s="4">
        <v>45639</v>
      </c>
      <c r="J117" s="4">
        <v>45680</v>
      </c>
      <c r="M117" s="3"/>
      <c r="N117" s="3"/>
      <c r="O117" s="23"/>
    </row>
    <row r="118" spans="1:15" x14ac:dyDescent="0.15">
      <c r="A118" s="3" t="s">
        <v>269</v>
      </c>
      <c r="B118" s="4">
        <v>45646</v>
      </c>
      <c r="C118" s="3" t="s">
        <v>267</v>
      </c>
      <c r="D118" s="5">
        <v>66000</v>
      </c>
      <c r="E118" s="5"/>
      <c r="F118" s="3"/>
      <c r="G118" s="4">
        <v>45646</v>
      </c>
      <c r="H118" s="4">
        <v>45646</v>
      </c>
      <c r="I118" s="4">
        <v>45646</v>
      </c>
      <c r="J118" s="4" t="s">
        <v>332</v>
      </c>
      <c r="M118" s="3"/>
      <c r="N118" s="3"/>
      <c r="O118" s="23"/>
    </row>
    <row r="119" spans="1:15" x14ac:dyDescent="0.15">
      <c r="A119" s="3" t="s">
        <v>270</v>
      </c>
      <c r="B119" s="4">
        <v>45650</v>
      </c>
      <c r="C119" s="3" t="s">
        <v>92</v>
      </c>
      <c r="D119" s="5">
        <v>96800</v>
      </c>
      <c r="E119" s="5" t="s">
        <v>6</v>
      </c>
      <c r="F119" s="3"/>
      <c r="G119" s="4">
        <v>45650</v>
      </c>
      <c r="H119" s="4">
        <v>45650</v>
      </c>
      <c r="I119" s="4">
        <v>45650</v>
      </c>
      <c r="J119" s="4" t="s">
        <v>332</v>
      </c>
      <c r="M119" s="3"/>
      <c r="N119" s="3"/>
      <c r="O119" s="23"/>
    </row>
    <row r="120" spans="1:15" x14ac:dyDescent="0.15">
      <c r="A120" s="3" t="s">
        <v>271</v>
      </c>
      <c r="B120" s="4">
        <v>45653</v>
      </c>
      <c r="C120" s="3" t="s">
        <v>22</v>
      </c>
      <c r="D120" s="5">
        <v>11000</v>
      </c>
      <c r="E120" s="5" t="s">
        <v>6</v>
      </c>
      <c r="F120" s="3"/>
      <c r="G120" s="4">
        <v>45653</v>
      </c>
      <c r="H120" s="4">
        <v>45653</v>
      </c>
      <c r="I120" s="4">
        <v>45653</v>
      </c>
      <c r="J120" s="4" t="s">
        <v>332</v>
      </c>
      <c r="M120" s="3"/>
      <c r="N120" s="3"/>
      <c r="O120" s="23"/>
    </row>
    <row r="121" spans="1:15" x14ac:dyDescent="0.15">
      <c r="A121" s="3" t="s">
        <v>272</v>
      </c>
      <c r="B121" s="4">
        <v>45653</v>
      </c>
      <c r="C121" s="3" t="s">
        <v>67</v>
      </c>
      <c r="D121" s="5">
        <v>13200</v>
      </c>
      <c r="E121" s="5" t="s">
        <v>6</v>
      </c>
      <c r="F121" s="3"/>
      <c r="G121" s="4">
        <v>45653</v>
      </c>
      <c r="H121" s="4">
        <v>45653</v>
      </c>
      <c r="I121" s="4">
        <v>45653</v>
      </c>
      <c r="J121" s="4" t="s">
        <v>332</v>
      </c>
      <c r="M121" s="3"/>
      <c r="N121" s="3"/>
      <c r="O121" s="23"/>
    </row>
    <row r="122" spans="1:15" x14ac:dyDescent="0.15">
      <c r="A122" s="3" t="s">
        <v>275</v>
      </c>
      <c r="B122" s="4">
        <v>45655</v>
      </c>
      <c r="C122" s="3" t="s">
        <v>225</v>
      </c>
      <c r="D122" s="5">
        <v>120230</v>
      </c>
      <c r="E122" s="5" t="s">
        <v>273</v>
      </c>
      <c r="F122" s="3"/>
      <c r="G122" s="4">
        <v>45663</v>
      </c>
      <c r="H122" s="4">
        <v>45663</v>
      </c>
      <c r="I122" s="4">
        <v>45663</v>
      </c>
      <c r="J122" s="4" t="s">
        <v>332</v>
      </c>
      <c r="M122" s="3"/>
      <c r="N122" s="3"/>
      <c r="O122" s="23"/>
    </row>
    <row r="123" spans="1:15" x14ac:dyDescent="0.15">
      <c r="A123" s="3" t="s">
        <v>274</v>
      </c>
      <c r="B123" s="4">
        <v>45656</v>
      </c>
      <c r="C123" s="3" t="s">
        <v>200</v>
      </c>
      <c r="D123" s="5">
        <v>13200</v>
      </c>
      <c r="E123" s="5"/>
      <c r="F123" s="3"/>
      <c r="G123" s="4">
        <v>45656</v>
      </c>
      <c r="H123" s="4">
        <v>45656</v>
      </c>
      <c r="I123" s="4">
        <v>45656</v>
      </c>
      <c r="J123" s="4">
        <v>45656</v>
      </c>
      <c r="M123" s="3"/>
      <c r="N123" s="3"/>
      <c r="O123" s="23"/>
    </row>
    <row r="124" spans="1:15" x14ac:dyDescent="0.15">
      <c r="A124" s="3" t="s">
        <v>276</v>
      </c>
      <c r="B124" s="4">
        <v>45667</v>
      </c>
      <c r="C124" s="3" t="s">
        <v>92</v>
      </c>
      <c r="D124" s="5"/>
      <c r="E124" s="5" t="s">
        <v>6</v>
      </c>
      <c r="F124" s="3" t="s">
        <v>277</v>
      </c>
      <c r="G124" s="4">
        <v>45672</v>
      </c>
      <c r="H124" s="4">
        <v>45672</v>
      </c>
      <c r="I124" s="4">
        <v>45672</v>
      </c>
      <c r="J124" s="4" t="s">
        <v>332</v>
      </c>
      <c r="M124" s="3"/>
      <c r="N124" s="3"/>
      <c r="O124" s="23"/>
    </row>
    <row r="125" spans="1:15" x14ac:dyDescent="0.15">
      <c r="A125" s="3" t="s">
        <v>278</v>
      </c>
      <c r="B125" s="4">
        <v>45672</v>
      </c>
      <c r="C125" s="3" t="s">
        <v>279</v>
      </c>
      <c r="D125" s="5">
        <v>33000</v>
      </c>
      <c r="E125" s="5" t="s">
        <v>280</v>
      </c>
      <c r="F125" s="3"/>
      <c r="G125" s="4">
        <v>45672</v>
      </c>
      <c r="H125" s="4">
        <v>45672</v>
      </c>
      <c r="I125" s="4">
        <v>45672</v>
      </c>
      <c r="J125" s="4">
        <v>45685</v>
      </c>
      <c r="M125" s="3"/>
      <c r="N125" s="3"/>
      <c r="O125" s="23"/>
    </row>
    <row r="126" spans="1:15" x14ac:dyDescent="0.15">
      <c r="A126" s="3" t="s">
        <v>281</v>
      </c>
      <c r="B126" s="4">
        <v>45674</v>
      </c>
      <c r="C126" s="3" t="s">
        <v>200</v>
      </c>
      <c r="D126" s="5">
        <v>6600</v>
      </c>
      <c r="E126" s="5" t="s">
        <v>6</v>
      </c>
      <c r="F126" s="3"/>
      <c r="G126" s="4">
        <v>45674</v>
      </c>
      <c r="H126" s="4">
        <v>45674</v>
      </c>
      <c r="I126" s="4">
        <v>45674</v>
      </c>
      <c r="J126" s="4">
        <v>45677</v>
      </c>
      <c r="M126" s="3"/>
      <c r="N126" s="3"/>
      <c r="O126" s="23"/>
    </row>
    <row r="127" spans="1:15" x14ac:dyDescent="0.15">
      <c r="A127" s="3" t="s">
        <v>291</v>
      </c>
      <c r="B127" s="4">
        <v>45680</v>
      </c>
      <c r="C127" s="3" t="s">
        <v>32</v>
      </c>
      <c r="D127" s="5">
        <v>35200</v>
      </c>
      <c r="E127" s="5" t="s">
        <v>6</v>
      </c>
      <c r="F127" s="3"/>
      <c r="G127" s="4">
        <v>45680</v>
      </c>
      <c r="H127" s="4">
        <v>45680</v>
      </c>
      <c r="I127" s="4">
        <v>45680</v>
      </c>
      <c r="J127" s="4">
        <v>45691</v>
      </c>
      <c r="M127" s="3"/>
      <c r="N127" s="3"/>
      <c r="O127" s="23"/>
    </row>
    <row r="128" spans="1:15" x14ac:dyDescent="0.15">
      <c r="A128" s="3" t="s">
        <v>282</v>
      </c>
      <c r="B128" s="4">
        <v>45680</v>
      </c>
      <c r="C128" s="3" t="s">
        <v>283</v>
      </c>
      <c r="D128" s="5">
        <v>132000</v>
      </c>
      <c r="E128" s="5" t="s">
        <v>6</v>
      </c>
      <c r="F128" s="3"/>
      <c r="G128" s="4">
        <v>45680</v>
      </c>
      <c r="H128" s="4">
        <v>45680</v>
      </c>
      <c r="I128" s="4">
        <v>45680</v>
      </c>
      <c r="J128" s="4">
        <v>45685</v>
      </c>
      <c r="M128" s="3"/>
      <c r="N128" s="3"/>
      <c r="O128" s="23"/>
    </row>
    <row r="129" spans="1:15" x14ac:dyDescent="0.15">
      <c r="A129" s="3" t="s">
        <v>284</v>
      </c>
      <c r="B129" s="4">
        <v>45685</v>
      </c>
      <c r="C129" s="3" t="s">
        <v>22</v>
      </c>
      <c r="D129" s="5">
        <v>11000</v>
      </c>
      <c r="E129" s="5" t="s">
        <v>6</v>
      </c>
      <c r="F129" s="3"/>
      <c r="G129" s="4">
        <v>45685</v>
      </c>
      <c r="H129" s="4">
        <v>45685</v>
      </c>
      <c r="I129" s="4">
        <v>45685</v>
      </c>
      <c r="J129" s="4">
        <v>45685</v>
      </c>
      <c r="M129" s="3"/>
      <c r="N129" s="3"/>
      <c r="O129" s="23"/>
    </row>
    <row r="130" spans="1:15" x14ac:dyDescent="0.15">
      <c r="A130" s="3" t="s">
        <v>288</v>
      </c>
      <c r="B130" s="4">
        <v>45685</v>
      </c>
      <c r="C130" s="3" t="s">
        <v>285</v>
      </c>
      <c r="D130" s="5">
        <v>15000</v>
      </c>
      <c r="E130" s="5" t="s">
        <v>6</v>
      </c>
      <c r="F130" s="3"/>
      <c r="G130" s="4"/>
      <c r="H130" s="4"/>
      <c r="I130" s="4"/>
      <c r="J130" s="4" t="s">
        <v>332</v>
      </c>
      <c r="M130" s="3"/>
      <c r="N130" s="3"/>
      <c r="O130" s="23"/>
    </row>
    <row r="131" spans="1:15" x14ac:dyDescent="0.15">
      <c r="A131" s="3" t="s">
        <v>289</v>
      </c>
      <c r="B131" s="4">
        <v>45691</v>
      </c>
      <c r="C131" s="3" t="s">
        <v>290</v>
      </c>
      <c r="D131" s="5">
        <v>91080</v>
      </c>
      <c r="E131" s="5"/>
      <c r="F131" s="3"/>
      <c r="G131" s="4">
        <v>45734</v>
      </c>
      <c r="H131" s="4">
        <v>45734</v>
      </c>
      <c r="I131" s="4">
        <v>45734</v>
      </c>
      <c r="J131" s="4" t="s">
        <v>332</v>
      </c>
      <c r="M131" s="3"/>
      <c r="N131" s="3"/>
      <c r="O131" s="23"/>
    </row>
    <row r="132" spans="1:15" x14ac:dyDescent="0.15">
      <c r="A132" s="3" t="s">
        <v>292</v>
      </c>
      <c r="B132" s="4">
        <v>45691</v>
      </c>
      <c r="C132" s="3" t="s">
        <v>92</v>
      </c>
      <c r="D132" s="5">
        <v>23760</v>
      </c>
      <c r="E132" s="5" t="s">
        <v>6</v>
      </c>
      <c r="F132" s="3"/>
      <c r="G132" s="4">
        <v>45691</v>
      </c>
      <c r="H132" s="4">
        <v>45691</v>
      </c>
      <c r="I132" s="4">
        <v>45691</v>
      </c>
      <c r="J132" s="4">
        <v>45727</v>
      </c>
      <c r="L132" s="16" t="str">
        <f>IF(J132="",D132,"")</f>
        <v/>
      </c>
      <c r="M132" s="3"/>
      <c r="N132" s="3"/>
      <c r="O132" s="23"/>
    </row>
    <row r="133" spans="1:15" x14ac:dyDescent="0.15">
      <c r="A133" s="3" t="s">
        <v>293</v>
      </c>
      <c r="B133" s="4">
        <v>45691</v>
      </c>
      <c r="C133" s="3" t="s">
        <v>265</v>
      </c>
      <c r="D133" s="5">
        <v>19800</v>
      </c>
      <c r="E133" s="5" t="s">
        <v>6</v>
      </c>
      <c r="F133" s="3"/>
      <c r="G133" s="4">
        <v>45691</v>
      </c>
      <c r="H133" s="4">
        <v>45691</v>
      </c>
      <c r="I133" s="4">
        <v>45691</v>
      </c>
      <c r="J133" s="4">
        <v>45744</v>
      </c>
      <c r="L133" s="16" t="str">
        <f t="shared" ref="L133:L161" si="0">IF(J133="",D133,"")</f>
        <v/>
      </c>
      <c r="M133" s="3"/>
      <c r="N133" s="3"/>
      <c r="O133" s="23"/>
    </row>
    <row r="134" spans="1:15" x14ac:dyDescent="0.15">
      <c r="A134" s="3" t="s">
        <v>296</v>
      </c>
      <c r="B134" s="4">
        <v>45694</v>
      </c>
      <c r="C134" s="3" t="s">
        <v>295</v>
      </c>
      <c r="D134" s="5">
        <v>26400</v>
      </c>
      <c r="E134" s="5"/>
      <c r="F134" s="3"/>
      <c r="G134" s="4">
        <v>45694</v>
      </c>
      <c r="H134" s="4">
        <v>45694</v>
      </c>
      <c r="I134" s="4">
        <v>45694</v>
      </c>
      <c r="J134" s="4">
        <v>45694</v>
      </c>
      <c r="L134" s="16" t="str">
        <f t="shared" si="0"/>
        <v/>
      </c>
      <c r="M134" s="3"/>
      <c r="N134" s="3"/>
      <c r="O134" s="23"/>
    </row>
    <row r="135" spans="1:15" x14ac:dyDescent="0.15">
      <c r="A135" s="3" t="s">
        <v>305</v>
      </c>
      <c r="B135" s="4">
        <v>45700</v>
      </c>
      <c r="C135" s="3" t="s">
        <v>298</v>
      </c>
      <c r="D135" s="5">
        <v>55000</v>
      </c>
      <c r="E135" s="5" t="s">
        <v>300</v>
      </c>
      <c r="F135" s="3"/>
      <c r="G135" s="4">
        <v>45700</v>
      </c>
      <c r="H135" s="4">
        <v>45700</v>
      </c>
      <c r="I135" s="4">
        <v>45700</v>
      </c>
      <c r="J135" s="4">
        <v>45702</v>
      </c>
      <c r="L135" s="16" t="str">
        <f t="shared" si="0"/>
        <v/>
      </c>
      <c r="M135" s="3"/>
      <c r="N135" s="3"/>
      <c r="O135" s="23"/>
    </row>
    <row r="136" spans="1:15" x14ac:dyDescent="0.15">
      <c r="A136" s="3" t="s">
        <v>304</v>
      </c>
      <c r="B136" s="4">
        <v>45700</v>
      </c>
      <c r="C136" s="3" t="s">
        <v>301</v>
      </c>
      <c r="D136" s="5">
        <v>29700</v>
      </c>
      <c r="E136" s="5" t="s">
        <v>6</v>
      </c>
      <c r="F136" s="3"/>
      <c r="G136" s="4">
        <v>45700</v>
      </c>
      <c r="H136" s="4">
        <v>45700</v>
      </c>
      <c r="I136" s="4">
        <v>45700</v>
      </c>
      <c r="J136" s="4">
        <v>45715</v>
      </c>
      <c r="L136" s="16" t="str">
        <f t="shared" si="0"/>
        <v/>
      </c>
      <c r="M136" s="3"/>
      <c r="N136" s="3"/>
      <c r="O136" s="23"/>
    </row>
    <row r="137" spans="1:15" x14ac:dyDescent="0.15">
      <c r="A137" s="3" t="s">
        <v>309</v>
      </c>
      <c r="B137" s="4">
        <v>45702</v>
      </c>
      <c r="C137" s="3" t="s">
        <v>307</v>
      </c>
      <c r="D137" s="5">
        <v>11800</v>
      </c>
      <c r="E137" s="5" t="s">
        <v>6</v>
      </c>
      <c r="F137" s="3"/>
      <c r="G137" s="4">
        <v>45702</v>
      </c>
      <c r="H137" s="4">
        <v>45702</v>
      </c>
      <c r="I137" s="4">
        <v>45702</v>
      </c>
      <c r="J137" s="4">
        <v>45702</v>
      </c>
      <c r="L137" s="16" t="str">
        <f t="shared" si="0"/>
        <v/>
      </c>
      <c r="M137" s="3"/>
      <c r="N137" s="3"/>
      <c r="O137" s="23"/>
    </row>
    <row r="138" spans="1:15" x14ac:dyDescent="0.15">
      <c r="A138" s="3" t="s">
        <v>311</v>
      </c>
      <c r="B138" s="4">
        <v>45706</v>
      </c>
      <c r="C138" s="3" t="s">
        <v>310</v>
      </c>
      <c r="D138" s="5">
        <v>16500</v>
      </c>
      <c r="E138" s="5" t="s">
        <v>6</v>
      </c>
      <c r="F138" s="3"/>
      <c r="G138" s="4">
        <v>45706</v>
      </c>
      <c r="H138" s="4">
        <v>45706</v>
      </c>
      <c r="I138" s="4">
        <v>45706</v>
      </c>
      <c r="J138" s="4">
        <v>45706</v>
      </c>
      <c r="L138" s="16" t="str">
        <f t="shared" si="0"/>
        <v/>
      </c>
      <c r="M138" s="3"/>
      <c r="N138" s="3"/>
      <c r="O138" s="23"/>
    </row>
    <row r="139" spans="1:15" x14ac:dyDescent="0.15">
      <c r="A139" s="3" t="s">
        <v>313</v>
      </c>
      <c r="B139" s="4">
        <v>45707</v>
      </c>
      <c r="C139" s="3" t="s">
        <v>225</v>
      </c>
      <c r="D139" s="5">
        <v>84700</v>
      </c>
      <c r="E139" s="5" t="s">
        <v>312</v>
      </c>
      <c r="F139" s="3"/>
      <c r="G139" s="4">
        <v>45707</v>
      </c>
      <c r="H139" s="4">
        <v>45707</v>
      </c>
      <c r="I139" s="4">
        <v>45707</v>
      </c>
      <c r="J139" s="4">
        <v>45716</v>
      </c>
      <c r="L139" s="16" t="str">
        <f t="shared" si="0"/>
        <v/>
      </c>
      <c r="M139" s="3"/>
      <c r="N139" s="3"/>
      <c r="O139" s="23"/>
    </row>
    <row r="140" spans="1:15" x14ac:dyDescent="0.15">
      <c r="A140" s="3" t="s">
        <v>314</v>
      </c>
      <c r="B140" s="4">
        <v>45707</v>
      </c>
      <c r="C140" s="3" t="s">
        <v>265</v>
      </c>
      <c r="D140" s="5">
        <v>39600</v>
      </c>
      <c r="E140" s="5" t="s">
        <v>6</v>
      </c>
      <c r="F140" s="3"/>
      <c r="G140" s="4">
        <v>45707</v>
      </c>
      <c r="H140" s="4">
        <v>45707</v>
      </c>
      <c r="I140" s="4">
        <v>45707</v>
      </c>
      <c r="J140" s="4">
        <v>45744</v>
      </c>
      <c r="L140" s="16" t="str">
        <f t="shared" si="0"/>
        <v/>
      </c>
      <c r="M140" s="3"/>
      <c r="N140" s="3"/>
      <c r="O140" s="23"/>
    </row>
    <row r="141" spans="1:15" x14ac:dyDescent="0.15">
      <c r="A141" s="3" t="s">
        <v>334</v>
      </c>
      <c r="B141" s="4">
        <v>45715</v>
      </c>
      <c r="C141" s="3" t="s">
        <v>335</v>
      </c>
      <c r="D141" s="5">
        <v>6600</v>
      </c>
      <c r="E141" s="5" t="s">
        <v>6</v>
      </c>
      <c r="F141" s="3"/>
      <c r="G141" s="4">
        <v>45715</v>
      </c>
      <c r="H141" s="4">
        <v>45715</v>
      </c>
      <c r="I141" s="4">
        <v>45715</v>
      </c>
      <c r="J141" s="4">
        <v>45715</v>
      </c>
      <c r="L141" s="16" t="str">
        <f t="shared" si="0"/>
        <v/>
      </c>
      <c r="M141" s="3"/>
      <c r="N141" s="3"/>
      <c r="O141" s="23"/>
    </row>
    <row r="142" spans="1:15" x14ac:dyDescent="0.15">
      <c r="A142" s="3" t="s">
        <v>315</v>
      </c>
      <c r="B142" s="4">
        <v>45717</v>
      </c>
      <c r="C142" s="3" t="s">
        <v>92</v>
      </c>
      <c r="D142" s="5">
        <v>9900</v>
      </c>
      <c r="E142" s="5" t="s">
        <v>6</v>
      </c>
      <c r="F142" s="3"/>
      <c r="G142" s="4">
        <v>45717</v>
      </c>
      <c r="H142" s="4">
        <v>45717</v>
      </c>
      <c r="I142" s="4">
        <v>45717</v>
      </c>
      <c r="J142" s="4">
        <v>45727</v>
      </c>
      <c r="L142" s="16" t="str">
        <f t="shared" si="0"/>
        <v/>
      </c>
      <c r="M142" s="3"/>
      <c r="N142" s="3"/>
      <c r="O142" s="23"/>
    </row>
    <row r="143" spans="1:15" x14ac:dyDescent="0.15">
      <c r="A143" s="3" t="s">
        <v>316</v>
      </c>
      <c r="B143" s="4">
        <v>45722</v>
      </c>
      <c r="C143" s="3" t="s">
        <v>92</v>
      </c>
      <c r="D143" s="5">
        <v>47740</v>
      </c>
      <c r="E143" s="5" t="s">
        <v>6</v>
      </c>
      <c r="F143" s="3" t="s">
        <v>317</v>
      </c>
      <c r="G143" s="4">
        <v>45722</v>
      </c>
      <c r="H143" s="4">
        <v>45722</v>
      </c>
      <c r="I143" s="4">
        <v>45722</v>
      </c>
      <c r="J143" s="4">
        <v>45727</v>
      </c>
      <c r="L143" s="16" t="str">
        <f t="shared" si="0"/>
        <v/>
      </c>
      <c r="M143" s="3"/>
      <c r="N143" s="3"/>
      <c r="O143" s="23"/>
    </row>
    <row r="144" spans="1:15" x14ac:dyDescent="0.15">
      <c r="A144" s="3" t="s">
        <v>318</v>
      </c>
      <c r="B144" s="4">
        <v>45727</v>
      </c>
      <c r="C144" s="3" t="s">
        <v>301</v>
      </c>
      <c r="D144" s="5">
        <v>66000</v>
      </c>
      <c r="E144" s="5" t="s">
        <v>6</v>
      </c>
      <c r="F144" s="3" t="s">
        <v>319</v>
      </c>
      <c r="G144" s="4">
        <v>45727</v>
      </c>
      <c r="H144" s="4">
        <v>45727</v>
      </c>
      <c r="I144" s="4">
        <v>45727</v>
      </c>
      <c r="J144" s="4">
        <v>45727</v>
      </c>
      <c r="L144" s="16" t="str">
        <f t="shared" si="0"/>
        <v/>
      </c>
      <c r="M144" s="3"/>
      <c r="N144" s="3"/>
      <c r="O144" s="23"/>
    </row>
    <row r="145" spans="1:15" x14ac:dyDescent="0.15">
      <c r="A145" s="3" t="s">
        <v>321</v>
      </c>
      <c r="B145" s="4">
        <v>45727</v>
      </c>
      <c r="C145" s="3" t="s">
        <v>22</v>
      </c>
      <c r="D145" s="5">
        <v>11000</v>
      </c>
      <c r="E145" s="5" t="s">
        <v>6</v>
      </c>
      <c r="F145" s="3" t="s">
        <v>320</v>
      </c>
      <c r="G145" s="4">
        <v>45727</v>
      </c>
      <c r="H145" s="4">
        <v>45727</v>
      </c>
      <c r="I145" s="4">
        <v>45727</v>
      </c>
      <c r="J145" s="4">
        <v>45727</v>
      </c>
      <c r="L145" s="16" t="str">
        <f t="shared" si="0"/>
        <v/>
      </c>
      <c r="M145" s="3"/>
      <c r="N145" s="3"/>
      <c r="O145" s="23"/>
    </row>
    <row r="146" spans="1:15" x14ac:dyDescent="0.15">
      <c r="A146" s="3" t="s">
        <v>322</v>
      </c>
      <c r="B146" s="4">
        <v>45733</v>
      </c>
      <c r="C146" s="3" t="s">
        <v>260</v>
      </c>
      <c r="D146" s="5">
        <v>6600</v>
      </c>
      <c r="E146" s="5"/>
      <c r="F146" s="3"/>
      <c r="G146" s="4"/>
      <c r="H146" s="4"/>
      <c r="I146" s="4"/>
      <c r="J146" s="4">
        <v>45747</v>
      </c>
      <c r="L146" s="16" t="str">
        <f t="shared" si="0"/>
        <v/>
      </c>
      <c r="M146" s="3"/>
      <c r="N146" s="3"/>
      <c r="O146" s="23"/>
    </row>
    <row r="147" spans="1:15" x14ac:dyDescent="0.15">
      <c r="A147" s="3" t="s">
        <v>324</v>
      </c>
      <c r="B147" s="4">
        <v>45733</v>
      </c>
      <c r="C147" s="3" t="s">
        <v>225</v>
      </c>
      <c r="D147" s="5">
        <v>99990</v>
      </c>
      <c r="E147" s="5" t="s">
        <v>323</v>
      </c>
      <c r="F147" s="3"/>
      <c r="G147" s="4">
        <v>45733</v>
      </c>
      <c r="H147" s="4">
        <v>45733</v>
      </c>
      <c r="I147" s="4">
        <v>45733</v>
      </c>
      <c r="J147" s="4">
        <v>45747</v>
      </c>
      <c r="L147" s="16" t="str">
        <f t="shared" si="0"/>
        <v/>
      </c>
      <c r="M147" s="3"/>
      <c r="N147" s="3"/>
      <c r="O147" s="23"/>
    </row>
    <row r="148" spans="1:15" x14ac:dyDescent="0.15">
      <c r="A148" s="3" t="s">
        <v>325</v>
      </c>
      <c r="B148" s="4">
        <v>45738</v>
      </c>
      <c r="C148" s="3" t="s">
        <v>301</v>
      </c>
      <c r="D148" s="5">
        <v>99825</v>
      </c>
      <c r="E148" s="5" t="s">
        <v>6</v>
      </c>
      <c r="F148" s="3"/>
      <c r="G148" s="4"/>
      <c r="H148" s="4"/>
      <c r="I148" s="4"/>
      <c r="J148" s="4">
        <v>45752</v>
      </c>
      <c r="L148" s="16" t="str">
        <f t="shared" si="0"/>
        <v/>
      </c>
      <c r="M148" s="3"/>
      <c r="N148" s="3"/>
      <c r="O148" s="23"/>
    </row>
    <row r="149" spans="1:15" x14ac:dyDescent="0.15">
      <c r="A149" s="17" t="s">
        <v>328</v>
      </c>
      <c r="B149" s="18">
        <v>45737</v>
      </c>
      <c r="C149" s="17" t="s">
        <v>57</v>
      </c>
      <c r="D149" s="19">
        <v>710600</v>
      </c>
      <c r="E149" s="19"/>
      <c r="F149" s="17" t="s">
        <v>327</v>
      </c>
      <c r="G149" s="18"/>
      <c r="H149" s="18"/>
      <c r="I149" s="18"/>
      <c r="J149" s="18" t="s">
        <v>333</v>
      </c>
      <c r="L149" s="16" t="str">
        <f t="shared" si="0"/>
        <v/>
      </c>
      <c r="M149" s="3"/>
      <c r="N149" s="3"/>
      <c r="O149" s="23"/>
    </row>
    <row r="150" spans="1:15" x14ac:dyDescent="0.15">
      <c r="A150" s="3" t="s">
        <v>370</v>
      </c>
      <c r="B150" s="4">
        <v>45738</v>
      </c>
      <c r="C150" s="3" t="s">
        <v>57</v>
      </c>
      <c r="D150" s="5">
        <v>14850</v>
      </c>
      <c r="E150" s="5" t="s">
        <v>6</v>
      </c>
      <c r="F150" s="3" t="s">
        <v>329</v>
      </c>
      <c r="G150" s="4"/>
      <c r="H150" s="4"/>
      <c r="I150" s="4"/>
      <c r="J150" s="4">
        <v>45825</v>
      </c>
      <c r="L150" s="16" t="str">
        <f t="shared" si="0"/>
        <v/>
      </c>
      <c r="M150" s="3"/>
      <c r="N150" s="3"/>
      <c r="O150" s="23"/>
    </row>
    <row r="151" spans="1:15" x14ac:dyDescent="0.15">
      <c r="A151" s="3" t="s">
        <v>330</v>
      </c>
      <c r="B151" s="4">
        <v>45742</v>
      </c>
      <c r="C151" s="3" t="s">
        <v>22</v>
      </c>
      <c r="D151" s="5">
        <v>11000</v>
      </c>
      <c r="E151" s="5" t="s">
        <v>6</v>
      </c>
      <c r="F151" s="3" t="s">
        <v>331</v>
      </c>
      <c r="G151" s="4">
        <v>45742</v>
      </c>
      <c r="H151" s="4">
        <v>45742</v>
      </c>
      <c r="I151" s="4">
        <v>45742</v>
      </c>
      <c r="J151" s="4">
        <v>45744</v>
      </c>
      <c r="L151" s="16" t="str">
        <f t="shared" si="0"/>
        <v/>
      </c>
      <c r="M151" s="3"/>
      <c r="N151" s="3"/>
      <c r="O151" s="23"/>
    </row>
    <row r="152" spans="1:15" x14ac:dyDescent="0.15">
      <c r="A152" s="17"/>
      <c r="B152" s="18">
        <v>45744</v>
      </c>
      <c r="C152" s="17" t="s">
        <v>301</v>
      </c>
      <c r="D152" s="19"/>
      <c r="E152" s="19"/>
      <c r="F152" s="17" t="s">
        <v>336</v>
      </c>
      <c r="G152" s="18"/>
      <c r="H152" s="18"/>
      <c r="I152" s="18"/>
      <c r="J152" s="18"/>
      <c r="L152" s="16">
        <f t="shared" si="0"/>
        <v>0</v>
      </c>
      <c r="M152" s="3"/>
      <c r="N152" s="3"/>
      <c r="O152" s="23"/>
    </row>
    <row r="153" spans="1:15" x14ac:dyDescent="0.15">
      <c r="A153" s="17" t="s">
        <v>339</v>
      </c>
      <c r="B153" s="18">
        <v>45746</v>
      </c>
      <c r="C153" s="17" t="s">
        <v>338</v>
      </c>
      <c r="D153" s="19">
        <v>13200</v>
      </c>
      <c r="E153" s="19" t="s">
        <v>342</v>
      </c>
      <c r="F153" s="17"/>
      <c r="G153" s="18"/>
      <c r="H153" s="18"/>
      <c r="I153" s="18"/>
      <c r="J153" s="18" t="s">
        <v>369</v>
      </c>
      <c r="L153" s="16" t="str">
        <f t="shared" si="0"/>
        <v/>
      </c>
      <c r="M153" s="3"/>
      <c r="N153" s="3"/>
      <c r="O153" s="23"/>
    </row>
    <row r="154" spans="1:15" x14ac:dyDescent="0.15">
      <c r="A154" s="17" t="s">
        <v>340</v>
      </c>
      <c r="B154" s="18">
        <v>45777</v>
      </c>
      <c r="C154" s="17" t="s">
        <v>341</v>
      </c>
      <c r="D154" s="19"/>
      <c r="E154" s="19" t="s">
        <v>342</v>
      </c>
      <c r="F154" s="17"/>
      <c r="G154" s="18"/>
      <c r="H154" s="18"/>
      <c r="I154" s="18"/>
      <c r="J154" s="18"/>
      <c r="L154" s="16">
        <f t="shared" si="0"/>
        <v>0</v>
      </c>
      <c r="M154" s="3"/>
      <c r="N154" s="3"/>
      <c r="O154" s="23"/>
    </row>
    <row r="155" spans="1:15" x14ac:dyDescent="0.15">
      <c r="A155" s="3" t="s">
        <v>345</v>
      </c>
      <c r="B155" s="4">
        <v>45759</v>
      </c>
      <c r="C155" s="3" t="s">
        <v>295</v>
      </c>
      <c r="D155" s="5">
        <v>200000</v>
      </c>
      <c r="E155" s="5" t="s">
        <v>344</v>
      </c>
      <c r="F155" s="3"/>
      <c r="G155" s="4"/>
      <c r="H155" s="4"/>
      <c r="I155" s="4"/>
      <c r="J155" s="4">
        <v>45761</v>
      </c>
      <c r="L155" s="16" t="str">
        <f t="shared" si="0"/>
        <v/>
      </c>
      <c r="M155" s="3"/>
      <c r="N155" s="3"/>
      <c r="O155" s="23"/>
    </row>
    <row r="156" spans="1:15" x14ac:dyDescent="0.15">
      <c r="A156" s="17" t="s">
        <v>343</v>
      </c>
      <c r="B156" s="18">
        <v>45759</v>
      </c>
      <c r="C156" s="17" t="s">
        <v>295</v>
      </c>
      <c r="D156" s="19">
        <v>189420</v>
      </c>
      <c r="E156" s="19" t="s">
        <v>344</v>
      </c>
      <c r="F156" s="17"/>
      <c r="G156" s="18"/>
      <c r="H156" s="18"/>
      <c r="I156" s="18"/>
      <c r="J156" s="18" t="s">
        <v>346</v>
      </c>
      <c r="L156" s="16" t="str">
        <f t="shared" si="0"/>
        <v/>
      </c>
      <c r="M156" s="3"/>
      <c r="N156" s="3"/>
      <c r="O156" s="23"/>
    </row>
    <row r="157" spans="1:15" x14ac:dyDescent="0.15">
      <c r="A157" s="17" t="s">
        <v>350</v>
      </c>
      <c r="B157" s="18">
        <v>45773</v>
      </c>
      <c r="C157" s="17" t="s">
        <v>348</v>
      </c>
      <c r="D157" s="19"/>
      <c r="E157" s="19" t="s">
        <v>351</v>
      </c>
      <c r="F157" s="17"/>
      <c r="G157" s="18"/>
      <c r="H157" s="18"/>
      <c r="I157" s="18"/>
      <c r="J157" s="18" t="s">
        <v>369</v>
      </c>
      <c r="L157" s="16" t="str">
        <f t="shared" si="0"/>
        <v/>
      </c>
      <c r="M157" s="3"/>
      <c r="N157" s="3"/>
      <c r="O157" s="23"/>
    </row>
    <row r="158" spans="1:15" x14ac:dyDescent="0.15">
      <c r="A158" s="3" t="s">
        <v>353</v>
      </c>
      <c r="B158" s="4">
        <v>45773</v>
      </c>
      <c r="C158" s="3" t="s">
        <v>22</v>
      </c>
      <c r="D158" s="5">
        <v>11000</v>
      </c>
      <c r="E158" s="5" t="s">
        <v>6</v>
      </c>
      <c r="F158" s="3" t="s">
        <v>352</v>
      </c>
      <c r="G158" s="4"/>
      <c r="H158" s="4"/>
      <c r="I158" s="4"/>
      <c r="J158" s="4">
        <v>45773</v>
      </c>
      <c r="L158" s="16" t="str">
        <f t="shared" si="0"/>
        <v/>
      </c>
      <c r="M158" s="3"/>
      <c r="N158" s="3"/>
      <c r="O158" s="23"/>
    </row>
    <row r="159" spans="1:15" x14ac:dyDescent="0.15">
      <c r="A159" s="9" t="s">
        <v>354</v>
      </c>
      <c r="B159" s="4">
        <v>45779</v>
      </c>
      <c r="C159" s="3" t="s">
        <v>355</v>
      </c>
      <c r="D159" s="5">
        <v>50000</v>
      </c>
      <c r="E159" s="5" t="s">
        <v>7</v>
      </c>
      <c r="F159" s="3"/>
      <c r="G159" s="4"/>
      <c r="H159" s="4"/>
      <c r="I159" s="4">
        <v>45779</v>
      </c>
      <c r="J159" s="4">
        <v>45779</v>
      </c>
      <c r="L159" s="16" t="str">
        <f t="shared" si="0"/>
        <v/>
      </c>
      <c r="M159" s="3"/>
      <c r="N159" s="3"/>
      <c r="O159" s="23"/>
    </row>
    <row r="160" spans="1:15" x14ac:dyDescent="0.15">
      <c r="A160" s="17" t="s">
        <v>358</v>
      </c>
      <c r="B160" s="18">
        <v>45783</v>
      </c>
      <c r="C160" s="17" t="s">
        <v>357</v>
      </c>
      <c r="D160" s="19"/>
      <c r="E160" s="19" t="s">
        <v>356</v>
      </c>
      <c r="F160" s="17"/>
      <c r="G160" s="18"/>
      <c r="H160" s="18"/>
      <c r="I160" s="18"/>
      <c r="J160" s="18" t="s">
        <v>369</v>
      </c>
      <c r="L160" s="16" t="str">
        <f t="shared" si="0"/>
        <v/>
      </c>
      <c r="M160" s="3"/>
      <c r="N160" s="3"/>
      <c r="O160" s="23"/>
    </row>
    <row r="161" spans="1:15" x14ac:dyDescent="0.15">
      <c r="A161" s="17" t="s">
        <v>360</v>
      </c>
      <c r="B161" s="18">
        <v>45784</v>
      </c>
      <c r="C161" s="17" t="s">
        <v>359</v>
      </c>
      <c r="D161" s="19"/>
      <c r="E161" s="19" t="s">
        <v>361</v>
      </c>
      <c r="F161" s="17" t="s">
        <v>362</v>
      </c>
      <c r="G161" s="18"/>
      <c r="H161" s="18"/>
      <c r="I161" s="18"/>
      <c r="J161" s="18" t="s">
        <v>369</v>
      </c>
      <c r="L161" s="16" t="str">
        <f t="shared" si="0"/>
        <v/>
      </c>
      <c r="M161" s="3"/>
      <c r="N161" s="3"/>
      <c r="O161" s="23"/>
    </row>
    <row r="162" spans="1:15" x14ac:dyDescent="0.15">
      <c r="A162" s="3" t="s">
        <v>363</v>
      </c>
      <c r="B162" s="4">
        <v>45788</v>
      </c>
      <c r="C162" s="3" t="s">
        <v>301</v>
      </c>
      <c r="D162" s="5">
        <v>13200</v>
      </c>
      <c r="E162" s="5" t="s">
        <v>368</v>
      </c>
      <c r="F162" s="3" t="s">
        <v>336</v>
      </c>
      <c r="G162" s="4">
        <v>45788</v>
      </c>
      <c r="H162" s="4">
        <v>45788</v>
      </c>
      <c r="I162" s="4">
        <v>45788</v>
      </c>
      <c r="J162" s="4">
        <v>45807</v>
      </c>
      <c r="L162" s="16" t="str">
        <f t="shared" ref="L162:L171" si="1">IF(AND(J162="",E162="請求書"),D162,"")</f>
        <v/>
      </c>
      <c r="M162" s="3"/>
      <c r="N162" s="3"/>
      <c r="O162" s="23"/>
    </row>
    <row r="163" spans="1:15" x14ac:dyDescent="0.15">
      <c r="A163" s="3" t="s">
        <v>364</v>
      </c>
      <c r="B163" s="4">
        <v>45789</v>
      </c>
      <c r="C163" s="3" t="s">
        <v>225</v>
      </c>
      <c r="D163" s="5">
        <v>15840</v>
      </c>
      <c r="E163" s="5" t="s">
        <v>368</v>
      </c>
      <c r="F163" s="3" t="s">
        <v>365</v>
      </c>
      <c r="G163" s="4"/>
      <c r="H163" s="4"/>
      <c r="I163" s="4"/>
      <c r="J163" s="4">
        <v>45807</v>
      </c>
      <c r="L163" s="16" t="str">
        <f t="shared" si="1"/>
        <v/>
      </c>
      <c r="M163" s="3"/>
      <c r="N163" s="3"/>
      <c r="O163" s="23"/>
    </row>
    <row r="164" spans="1:15" x14ac:dyDescent="0.15">
      <c r="A164" s="3" t="s">
        <v>367</v>
      </c>
      <c r="B164" s="4">
        <v>45789</v>
      </c>
      <c r="C164" s="3" t="s">
        <v>366</v>
      </c>
      <c r="D164" s="5">
        <v>35640</v>
      </c>
      <c r="E164" s="5" t="s">
        <v>368</v>
      </c>
      <c r="F164" s="3"/>
      <c r="G164" s="4"/>
      <c r="H164" s="4"/>
      <c r="I164" s="4"/>
      <c r="J164" s="4">
        <v>45798</v>
      </c>
      <c r="L164" s="16" t="str">
        <f t="shared" si="1"/>
        <v/>
      </c>
      <c r="M164" s="3"/>
      <c r="N164" s="3"/>
      <c r="O164" s="23"/>
    </row>
    <row r="165" spans="1:15" x14ac:dyDescent="0.15">
      <c r="A165" s="3" t="s">
        <v>372</v>
      </c>
      <c r="B165" s="4">
        <v>45796</v>
      </c>
      <c r="C165" s="3" t="s">
        <v>371</v>
      </c>
      <c r="D165" s="5">
        <v>29700</v>
      </c>
      <c r="E165" s="5" t="s">
        <v>408</v>
      </c>
      <c r="F165" s="3" t="s">
        <v>373</v>
      </c>
      <c r="G165" s="4">
        <v>45796</v>
      </c>
      <c r="H165" s="4">
        <v>45796</v>
      </c>
      <c r="I165" s="4">
        <v>45796</v>
      </c>
      <c r="J165" s="4">
        <v>45848</v>
      </c>
      <c r="L165" s="16" t="str">
        <f t="shared" si="1"/>
        <v/>
      </c>
      <c r="M165" s="3"/>
      <c r="N165" s="3"/>
      <c r="O165" s="23"/>
    </row>
    <row r="166" spans="1:15" x14ac:dyDescent="0.15">
      <c r="A166" s="3" t="s">
        <v>379</v>
      </c>
      <c r="B166" s="4">
        <v>45799</v>
      </c>
      <c r="C166" s="3" t="s">
        <v>376</v>
      </c>
      <c r="D166" s="5">
        <v>23760</v>
      </c>
      <c r="E166" s="5" t="s">
        <v>368</v>
      </c>
      <c r="F166" s="3"/>
      <c r="G166" s="4"/>
      <c r="H166" s="4"/>
      <c r="I166" s="4"/>
      <c r="J166" s="4">
        <v>45799</v>
      </c>
      <c r="L166" s="16" t="str">
        <f t="shared" si="1"/>
        <v/>
      </c>
      <c r="M166" s="3"/>
      <c r="N166" s="3"/>
      <c r="O166" s="23"/>
    </row>
    <row r="167" spans="1:15" x14ac:dyDescent="0.15">
      <c r="A167" s="3" t="s">
        <v>380</v>
      </c>
      <c r="B167" s="4">
        <v>45799</v>
      </c>
      <c r="C167" s="3" t="s">
        <v>377</v>
      </c>
      <c r="D167" s="5">
        <v>74250</v>
      </c>
      <c r="E167" s="5" t="s">
        <v>368</v>
      </c>
      <c r="F167" s="3" t="s">
        <v>415</v>
      </c>
      <c r="G167" s="4"/>
      <c r="H167" s="4"/>
      <c r="I167" s="4"/>
      <c r="J167" s="4">
        <v>45922</v>
      </c>
      <c r="L167" s="16" t="str">
        <f t="shared" si="1"/>
        <v/>
      </c>
      <c r="M167" s="3"/>
      <c r="N167" s="3"/>
      <c r="O167" s="23"/>
    </row>
    <row r="168" spans="1:15" x14ac:dyDescent="0.15">
      <c r="A168" s="3" t="s">
        <v>381</v>
      </c>
      <c r="B168" s="4">
        <v>45797</v>
      </c>
      <c r="C168" s="3" t="s">
        <v>382</v>
      </c>
      <c r="D168" s="5">
        <v>162800</v>
      </c>
      <c r="E168" s="5" t="s">
        <v>368</v>
      </c>
      <c r="F168" s="3" t="s">
        <v>383</v>
      </c>
      <c r="G168" s="4"/>
      <c r="H168" s="4"/>
      <c r="I168" s="4"/>
      <c r="J168" s="4">
        <v>45811</v>
      </c>
      <c r="L168" s="16" t="str">
        <f t="shared" si="1"/>
        <v/>
      </c>
      <c r="M168" s="3"/>
      <c r="N168" s="3"/>
      <c r="O168" s="23"/>
    </row>
    <row r="169" spans="1:15" x14ac:dyDescent="0.15">
      <c r="A169" s="3" t="s">
        <v>385</v>
      </c>
      <c r="B169" s="4">
        <v>45814</v>
      </c>
      <c r="C169" s="3" t="s">
        <v>295</v>
      </c>
      <c r="D169" s="5">
        <v>20000</v>
      </c>
      <c r="E169" s="5" t="s">
        <v>384</v>
      </c>
      <c r="F169" s="3" t="s">
        <v>386</v>
      </c>
      <c r="G169" s="4"/>
      <c r="H169" s="4"/>
      <c r="I169" s="4"/>
      <c r="J169" s="4">
        <v>45811</v>
      </c>
      <c r="L169" s="16" t="str">
        <f t="shared" si="1"/>
        <v/>
      </c>
      <c r="M169" s="3"/>
      <c r="N169" s="3"/>
      <c r="O169" s="23"/>
    </row>
    <row r="170" spans="1:15" x14ac:dyDescent="0.15">
      <c r="A170" s="3" t="s">
        <v>387</v>
      </c>
      <c r="B170" s="4">
        <v>45815</v>
      </c>
      <c r="C170" s="3" t="s">
        <v>376</v>
      </c>
      <c r="D170" s="5">
        <v>23760</v>
      </c>
      <c r="E170" s="5" t="s">
        <v>368</v>
      </c>
      <c r="F170" s="3"/>
      <c r="G170" s="4"/>
      <c r="H170" s="4"/>
      <c r="I170" s="4"/>
      <c r="J170" s="4">
        <v>45816</v>
      </c>
      <c r="L170" s="16" t="str">
        <f t="shared" si="1"/>
        <v/>
      </c>
      <c r="M170" s="3"/>
      <c r="N170" s="3"/>
      <c r="O170" s="23"/>
    </row>
    <row r="171" spans="1:15" x14ac:dyDescent="0.15">
      <c r="A171" s="3" t="s">
        <v>388</v>
      </c>
      <c r="B171" s="4">
        <v>45819</v>
      </c>
      <c r="C171" s="3" t="s">
        <v>225</v>
      </c>
      <c r="D171" s="5">
        <v>468270</v>
      </c>
      <c r="E171" s="5" t="s">
        <v>368</v>
      </c>
      <c r="F171" s="3" t="s">
        <v>389</v>
      </c>
      <c r="G171" s="4"/>
      <c r="H171" s="4"/>
      <c r="I171" s="4"/>
      <c r="J171" s="4">
        <v>45838</v>
      </c>
      <c r="L171" s="16" t="str">
        <f t="shared" si="1"/>
        <v/>
      </c>
      <c r="M171" s="3"/>
      <c r="N171" s="3"/>
      <c r="O171" s="23"/>
    </row>
    <row r="172" spans="1:15" x14ac:dyDescent="0.15">
      <c r="A172" s="3" t="s">
        <v>391</v>
      </c>
      <c r="B172" s="4">
        <v>45821</v>
      </c>
      <c r="C172" s="3" t="s">
        <v>390</v>
      </c>
      <c r="D172" s="5">
        <v>158400</v>
      </c>
      <c r="E172" s="5" t="s">
        <v>368</v>
      </c>
      <c r="F172" s="3"/>
      <c r="G172" s="4">
        <v>45862</v>
      </c>
      <c r="H172" s="4">
        <v>45862</v>
      </c>
      <c r="I172" s="4">
        <v>45863</v>
      </c>
      <c r="J172" s="4">
        <v>45894</v>
      </c>
      <c r="L172" s="16" t="str">
        <f t="shared" ref="L172:L177" si="2">IF(AND(J172="",E172="請求書"),D172,"")</f>
        <v/>
      </c>
      <c r="M172" s="3"/>
      <c r="N172" s="3"/>
      <c r="O172" s="23"/>
    </row>
    <row r="173" spans="1:15" x14ac:dyDescent="0.15">
      <c r="A173" s="17" t="s">
        <v>393</v>
      </c>
      <c r="B173" s="18">
        <v>45827</v>
      </c>
      <c r="C173" s="17" t="s">
        <v>32</v>
      </c>
      <c r="D173" s="19"/>
      <c r="E173" s="19" t="s">
        <v>392</v>
      </c>
      <c r="F173" s="17"/>
      <c r="G173" s="18"/>
      <c r="H173" s="18"/>
      <c r="I173" s="18"/>
      <c r="J173" s="18"/>
      <c r="L173" s="16" t="str">
        <f t="shared" si="2"/>
        <v/>
      </c>
      <c r="M173" s="3"/>
      <c r="N173" s="3"/>
      <c r="O173" s="23"/>
    </row>
    <row r="174" spans="1:15" x14ac:dyDescent="0.15">
      <c r="A174" s="3" t="s">
        <v>397</v>
      </c>
      <c r="B174" s="4">
        <v>45827</v>
      </c>
      <c r="C174" s="3" t="s">
        <v>394</v>
      </c>
      <c r="D174" s="5">
        <v>24750</v>
      </c>
      <c r="E174" s="5" t="s">
        <v>368</v>
      </c>
      <c r="F174" s="3" t="s">
        <v>398</v>
      </c>
      <c r="G174" s="4"/>
      <c r="H174" s="4"/>
      <c r="I174" s="4"/>
      <c r="J174" s="4">
        <v>45869</v>
      </c>
      <c r="L174" s="16" t="str">
        <f t="shared" si="2"/>
        <v/>
      </c>
      <c r="M174" s="3"/>
      <c r="N174" s="3"/>
      <c r="O174" s="23"/>
    </row>
    <row r="175" spans="1:15" x14ac:dyDescent="0.15">
      <c r="A175" s="3" t="s">
        <v>399</v>
      </c>
      <c r="B175" s="4">
        <v>45828</v>
      </c>
      <c r="C175" s="3" t="s">
        <v>260</v>
      </c>
      <c r="D175" s="5">
        <v>6600</v>
      </c>
      <c r="E175" s="5" t="s">
        <v>368</v>
      </c>
      <c r="F175" s="3"/>
      <c r="G175" s="4">
        <v>45863</v>
      </c>
      <c r="H175" s="4">
        <v>45863</v>
      </c>
      <c r="I175" s="4">
        <v>45863</v>
      </c>
      <c r="J175" s="4">
        <v>45869</v>
      </c>
      <c r="L175" s="16" t="str">
        <f t="shared" si="2"/>
        <v/>
      </c>
      <c r="M175" s="3"/>
      <c r="N175" s="3"/>
      <c r="O175" s="23"/>
    </row>
    <row r="176" spans="1:15" x14ac:dyDescent="0.15">
      <c r="A176" s="3" t="s">
        <v>400</v>
      </c>
      <c r="B176" s="4">
        <v>45832</v>
      </c>
      <c r="C176" s="3" t="s">
        <v>225</v>
      </c>
      <c r="D176" s="5">
        <v>385000</v>
      </c>
      <c r="E176" s="5" t="s">
        <v>392</v>
      </c>
      <c r="F176" s="3" t="s">
        <v>401</v>
      </c>
      <c r="G176" s="4"/>
      <c r="H176" s="4"/>
      <c r="I176" s="4"/>
      <c r="J176" s="4"/>
      <c r="L176" s="16" t="str">
        <f t="shared" si="2"/>
        <v/>
      </c>
      <c r="M176" s="3"/>
      <c r="N176" s="3"/>
      <c r="O176" s="23"/>
    </row>
    <row r="177" spans="1:15" x14ac:dyDescent="0.15">
      <c r="A177" s="3" t="s">
        <v>402</v>
      </c>
      <c r="B177" s="4">
        <v>45839</v>
      </c>
      <c r="C177" s="3" t="s">
        <v>92</v>
      </c>
      <c r="D177" s="5">
        <v>5940</v>
      </c>
      <c r="E177" s="5" t="s">
        <v>368</v>
      </c>
      <c r="F177" s="3" t="s">
        <v>403</v>
      </c>
      <c r="G177" s="4">
        <v>45839</v>
      </c>
      <c r="H177" s="4">
        <v>45839</v>
      </c>
      <c r="I177" s="4"/>
      <c r="J177" s="4">
        <v>45848</v>
      </c>
      <c r="L177" s="16" t="str">
        <f t="shared" si="2"/>
        <v/>
      </c>
      <c r="M177" s="3"/>
      <c r="N177" s="3"/>
      <c r="O177" s="23"/>
    </row>
    <row r="178" spans="1:15" x14ac:dyDescent="0.15">
      <c r="A178" s="3" t="s">
        <v>405</v>
      </c>
      <c r="B178" s="4">
        <v>45859</v>
      </c>
      <c r="C178" s="3" t="s">
        <v>377</v>
      </c>
      <c r="D178" s="5">
        <f>247500-100000-50000</f>
        <v>97500</v>
      </c>
      <c r="E178" s="5" t="s">
        <v>368</v>
      </c>
      <c r="F178" s="3" t="s">
        <v>404</v>
      </c>
      <c r="G178" s="4"/>
      <c r="H178" s="4"/>
      <c r="I178" s="4"/>
      <c r="J178" s="4">
        <v>45940</v>
      </c>
      <c r="L178" s="16" t="str">
        <f t="shared" ref="L178:L241" si="3">IF(AND(J178="",E178="請求書"),D178,"")</f>
        <v/>
      </c>
      <c r="M178" s="3"/>
      <c r="N178" s="3"/>
      <c r="O178" s="23"/>
    </row>
    <row r="179" spans="1:15" x14ac:dyDescent="0.15">
      <c r="A179" s="3" t="s">
        <v>406</v>
      </c>
      <c r="B179" s="4">
        <v>45848</v>
      </c>
      <c r="C179" s="3" t="s">
        <v>225</v>
      </c>
      <c r="D179" s="5">
        <v>10890</v>
      </c>
      <c r="E179" s="5" t="s">
        <v>368</v>
      </c>
      <c r="F179" s="3" t="s">
        <v>407</v>
      </c>
      <c r="G179" s="4"/>
      <c r="H179" s="4"/>
      <c r="I179" s="4"/>
      <c r="J179" s="4">
        <v>45869</v>
      </c>
      <c r="L179" s="16" t="str">
        <f t="shared" si="3"/>
        <v/>
      </c>
      <c r="M179" s="3"/>
      <c r="N179" s="3"/>
      <c r="O179" s="23"/>
    </row>
    <row r="180" spans="1:15" x14ac:dyDescent="0.15">
      <c r="A180" s="3" t="s">
        <v>409</v>
      </c>
      <c r="B180" s="4">
        <v>45870</v>
      </c>
      <c r="C180" s="3" t="s">
        <v>92</v>
      </c>
      <c r="D180" s="5">
        <v>5940</v>
      </c>
      <c r="E180" s="5" t="s">
        <v>368</v>
      </c>
      <c r="F180" s="3" t="s">
        <v>403</v>
      </c>
      <c r="G180" s="4">
        <v>45870</v>
      </c>
      <c r="H180" s="4">
        <v>45870</v>
      </c>
      <c r="I180" s="4"/>
      <c r="J180" s="4">
        <v>45881</v>
      </c>
      <c r="L180" s="16" t="str">
        <f t="shared" si="3"/>
        <v/>
      </c>
      <c r="M180" s="3"/>
      <c r="N180" s="3"/>
      <c r="O180" s="23"/>
    </row>
    <row r="181" spans="1:15" x14ac:dyDescent="0.15">
      <c r="A181" s="3" t="s">
        <v>410</v>
      </c>
      <c r="B181" s="4">
        <v>45881</v>
      </c>
      <c r="C181" s="3" t="s">
        <v>92</v>
      </c>
      <c r="D181" s="5">
        <v>27500</v>
      </c>
      <c r="E181" s="5" t="s">
        <v>368</v>
      </c>
      <c r="F181" s="3" t="s">
        <v>411</v>
      </c>
      <c r="G181" s="4"/>
      <c r="H181" s="4"/>
      <c r="I181" s="4"/>
      <c r="J181" s="4">
        <v>45881</v>
      </c>
      <c r="L181" s="16" t="str">
        <f t="shared" si="3"/>
        <v/>
      </c>
      <c r="M181" s="3"/>
      <c r="N181" s="3"/>
      <c r="O181" s="23"/>
    </row>
    <row r="182" spans="1:15" x14ac:dyDescent="0.15">
      <c r="A182" s="3" t="s">
        <v>413</v>
      </c>
      <c r="B182" s="4">
        <v>45886</v>
      </c>
      <c r="C182" s="3" t="s">
        <v>412</v>
      </c>
      <c r="D182" s="5">
        <v>22000</v>
      </c>
      <c r="E182" s="5" t="s">
        <v>368</v>
      </c>
      <c r="F182" s="3" t="s">
        <v>414</v>
      </c>
      <c r="G182" s="4">
        <v>45886</v>
      </c>
      <c r="H182" s="4">
        <v>45886</v>
      </c>
      <c r="I182" s="4">
        <v>45886</v>
      </c>
      <c r="J182" s="4">
        <v>45886</v>
      </c>
      <c r="L182" s="16" t="str">
        <f t="shared" si="3"/>
        <v/>
      </c>
      <c r="M182" s="3"/>
      <c r="N182" s="3"/>
      <c r="O182" s="23"/>
    </row>
    <row r="183" spans="1:15" x14ac:dyDescent="0.15">
      <c r="A183" s="3" t="s">
        <v>416</v>
      </c>
      <c r="B183" s="4">
        <v>45890</v>
      </c>
      <c r="C183" s="3" t="s">
        <v>225</v>
      </c>
      <c r="D183" s="5">
        <v>95040</v>
      </c>
      <c r="E183" s="5" t="s">
        <v>368</v>
      </c>
      <c r="F183" s="3"/>
      <c r="G183" s="4"/>
      <c r="H183" s="4"/>
      <c r="I183" s="4"/>
      <c r="J183" s="4">
        <v>45898</v>
      </c>
      <c r="L183" s="16" t="str">
        <f t="shared" si="3"/>
        <v/>
      </c>
      <c r="M183" s="3"/>
      <c r="N183" s="3"/>
      <c r="O183" s="23"/>
    </row>
    <row r="184" spans="1:15" x14ac:dyDescent="0.15">
      <c r="A184" s="3" t="s">
        <v>418</v>
      </c>
      <c r="B184" s="4">
        <v>45894</v>
      </c>
      <c r="C184" s="3" t="s">
        <v>417</v>
      </c>
      <c r="D184" s="5">
        <v>32000</v>
      </c>
      <c r="E184" s="5" t="s">
        <v>368</v>
      </c>
      <c r="F184" s="3"/>
      <c r="G184" s="4">
        <v>45894</v>
      </c>
      <c r="H184" s="4">
        <v>45894</v>
      </c>
      <c r="I184" s="4">
        <v>45894</v>
      </c>
      <c r="J184" s="4">
        <v>45894</v>
      </c>
      <c r="L184" s="16" t="str">
        <f t="shared" si="3"/>
        <v/>
      </c>
      <c r="M184" s="3"/>
      <c r="N184" s="3"/>
      <c r="O184" s="23"/>
    </row>
    <row r="185" spans="1:15" x14ac:dyDescent="0.15">
      <c r="A185" s="3" t="s">
        <v>419</v>
      </c>
      <c r="B185" s="4">
        <v>45899</v>
      </c>
      <c r="C185" s="3" t="s">
        <v>47</v>
      </c>
      <c r="D185" s="5">
        <v>47520</v>
      </c>
      <c r="E185" s="5" t="s">
        <v>368</v>
      </c>
      <c r="F185" s="3"/>
      <c r="G185" s="4">
        <v>45899</v>
      </c>
      <c r="H185" s="4">
        <v>45899</v>
      </c>
      <c r="I185" s="4">
        <v>45899</v>
      </c>
      <c r="J185" s="4">
        <v>45924</v>
      </c>
      <c r="L185" s="16" t="str">
        <f t="shared" si="3"/>
        <v/>
      </c>
      <c r="M185" s="3"/>
      <c r="N185" s="3"/>
      <c r="O185" s="23"/>
    </row>
    <row r="186" spans="1:15" x14ac:dyDescent="0.15">
      <c r="A186" s="3" t="s">
        <v>423</v>
      </c>
      <c r="B186" s="4">
        <v>45911</v>
      </c>
      <c r="C186" s="3" t="s">
        <v>422</v>
      </c>
      <c r="D186" s="5">
        <v>98230</v>
      </c>
      <c r="E186" s="5" t="s">
        <v>368</v>
      </c>
      <c r="F186" s="3"/>
      <c r="G186" s="4">
        <v>45911</v>
      </c>
      <c r="H186" s="4">
        <v>45911</v>
      </c>
      <c r="I186" s="4">
        <v>45911</v>
      </c>
      <c r="J186" s="4">
        <v>45914</v>
      </c>
      <c r="L186" s="16" t="str">
        <f t="shared" si="3"/>
        <v/>
      </c>
      <c r="M186" s="3"/>
      <c r="N186" s="3"/>
      <c r="O186" s="23"/>
    </row>
    <row r="187" spans="1:15" x14ac:dyDescent="0.15">
      <c r="A187" s="3" t="s">
        <v>424</v>
      </c>
      <c r="B187" s="4">
        <v>45919</v>
      </c>
      <c r="C187" s="3" t="s">
        <v>225</v>
      </c>
      <c r="D187" s="5">
        <v>46530</v>
      </c>
      <c r="E187" s="5" t="s">
        <v>368</v>
      </c>
      <c r="F187" s="3"/>
      <c r="G187" s="4">
        <v>45900</v>
      </c>
      <c r="H187" s="4">
        <v>45919</v>
      </c>
      <c r="I187" s="4">
        <v>45919</v>
      </c>
      <c r="J187" s="4">
        <v>45930</v>
      </c>
      <c r="L187" s="16" t="str">
        <f t="shared" si="3"/>
        <v/>
      </c>
      <c r="M187" s="3"/>
      <c r="N187" s="3"/>
      <c r="O187" s="23"/>
    </row>
    <row r="188" spans="1:15" x14ac:dyDescent="0.15">
      <c r="A188" s="3" t="s">
        <v>425</v>
      </c>
      <c r="B188" s="4">
        <v>45923</v>
      </c>
      <c r="C188" s="3" t="s">
        <v>47</v>
      </c>
      <c r="D188" s="5">
        <v>95040</v>
      </c>
      <c r="E188" s="5" t="s">
        <v>368</v>
      </c>
      <c r="F188" s="3"/>
      <c r="G188" s="4"/>
      <c r="H188" s="4">
        <v>45923</v>
      </c>
      <c r="I188" s="4">
        <v>45923</v>
      </c>
      <c r="J188" s="4">
        <v>45924</v>
      </c>
      <c r="L188" s="16" t="str">
        <f t="shared" si="3"/>
        <v/>
      </c>
      <c r="M188" s="3"/>
      <c r="N188" s="3"/>
      <c r="O188" s="23"/>
    </row>
    <row r="189" spans="1:15" s="20" customFormat="1" x14ac:dyDescent="0.15">
      <c r="A189" s="17" t="s">
        <v>427</v>
      </c>
      <c r="B189" s="18">
        <v>45936</v>
      </c>
      <c r="C189" s="17" t="s">
        <v>426</v>
      </c>
      <c r="D189" s="19">
        <v>517000</v>
      </c>
      <c r="E189" s="19" t="s">
        <v>392</v>
      </c>
      <c r="F189" s="17"/>
      <c r="G189" s="18"/>
      <c r="H189" s="18"/>
      <c r="I189" s="18"/>
      <c r="J189" s="18"/>
      <c r="L189" s="21" t="str">
        <f t="shared" si="3"/>
        <v/>
      </c>
      <c r="M189" s="17"/>
      <c r="N189" s="17"/>
      <c r="O189" s="26"/>
    </row>
    <row r="190" spans="1:15" x14ac:dyDescent="0.15">
      <c r="A190" s="3" t="s">
        <v>429</v>
      </c>
      <c r="B190" s="4">
        <v>45936</v>
      </c>
      <c r="C190" s="3" t="s">
        <v>430</v>
      </c>
      <c r="D190" s="5">
        <v>42900</v>
      </c>
      <c r="E190" s="5" t="s">
        <v>368</v>
      </c>
      <c r="F190" s="3"/>
      <c r="G190" s="4">
        <v>45936</v>
      </c>
      <c r="H190" s="4">
        <v>45936</v>
      </c>
      <c r="I190" s="4">
        <v>45936</v>
      </c>
      <c r="J190" s="4">
        <v>45937</v>
      </c>
      <c r="L190" s="16" t="str">
        <f t="shared" si="3"/>
        <v/>
      </c>
      <c r="M190" s="3"/>
      <c r="N190" s="3"/>
      <c r="O190" s="23"/>
    </row>
    <row r="191" spans="1:15" x14ac:dyDescent="0.15">
      <c r="A191" s="3" t="s">
        <v>432</v>
      </c>
      <c r="B191" s="4">
        <v>45951</v>
      </c>
      <c r="C191" s="3" t="s">
        <v>431</v>
      </c>
      <c r="D191" s="5">
        <v>6600</v>
      </c>
      <c r="E191" s="5" t="s">
        <v>368</v>
      </c>
      <c r="F191" s="3"/>
      <c r="G191" s="4"/>
      <c r="H191" s="4"/>
      <c r="I191" s="4"/>
      <c r="J191" s="4">
        <v>45955</v>
      </c>
      <c r="L191" s="16" t="str">
        <f t="shared" si="3"/>
        <v/>
      </c>
      <c r="M191" s="3"/>
      <c r="N191" s="3"/>
      <c r="O191" s="23"/>
    </row>
    <row r="192" spans="1:15" x14ac:dyDescent="0.15">
      <c r="A192" s="3" t="s">
        <v>435</v>
      </c>
      <c r="B192" s="4">
        <v>45951</v>
      </c>
      <c r="C192" s="3" t="s">
        <v>433</v>
      </c>
      <c r="D192" s="5">
        <v>164560</v>
      </c>
      <c r="E192" s="5" t="s">
        <v>368</v>
      </c>
      <c r="F192" s="3"/>
      <c r="G192" s="4"/>
      <c r="H192" s="4"/>
      <c r="I192" s="4"/>
      <c r="J192" s="4">
        <v>45991</v>
      </c>
      <c r="L192" s="16" t="str">
        <f t="shared" si="3"/>
        <v/>
      </c>
      <c r="M192" s="3"/>
      <c r="N192" s="3"/>
      <c r="O192" s="23"/>
    </row>
    <row r="193" spans="1:15" x14ac:dyDescent="0.15">
      <c r="A193" s="3" t="s">
        <v>437</v>
      </c>
      <c r="B193" s="4">
        <v>45960</v>
      </c>
      <c r="C193" s="3" t="s">
        <v>436</v>
      </c>
      <c r="D193" s="5">
        <v>5000</v>
      </c>
      <c r="E193" s="5" t="s">
        <v>384</v>
      </c>
      <c r="F193" s="3"/>
      <c r="G193" s="4"/>
      <c r="H193" s="4"/>
      <c r="I193" s="4"/>
      <c r="J193" s="4">
        <v>45960</v>
      </c>
      <c r="L193" s="16" t="str">
        <f t="shared" si="3"/>
        <v/>
      </c>
      <c r="M193" s="3"/>
      <c r="N193" s="3"/>
      <c r="O193" s="23"/>
    </row>
    <row r="194" spans="1:15" x14ac:dyDescent="0.15">
      <c r="A194" s="3" t="s">
        <v>439</v>
      </c>
      <c r="B194" s="4">
        <v>45961</v>
      </c>
      <c r="C194" s="3" t="s">
        <v>438</v>
      </c>
      <c r="D194" s="5">
        <v>819720</v>
      </c>
      <c r="E194" s="5" t="s">
        <v>368</v>
      </c>
      <c r="F194" s="3"/>
      <c r="G194" s="4"/>
      <c r="H194" s="4"/>
      <c r="I194" s="4"/>
      <c r="J194" s="4">
        <v>45989</v>
      </c>
      <c r="L194" s="16" t="str">
        <f t="shared" si="3"/>
        <v/>
      </c>
      <c r="M194" s="3"/>
      <c r="N194" s="3"/>
      <c r="O194" s="23"/>
    </row>
    <row r="195" spans="1:15" x14ac:dyDescent="0.15">
      <c r="A195" s="3" t="s">
        <v>440</v>
      </c>
      <c r="B195" s="4">
        <v>45936</v>
      </c>
      <c r="C195" s="3" t="s">
        <v>438</v>
      </c>
      <c r="D195" s="5">
        <v>114840</v>
      </c>
      <c r="E195" s="5" t="s">
        <v>368</v>
      </c>
      <c r="F195" s="3"/>
      <c r="G195" s="4"/>
      <c r="H195" s="4"/>
      <c r="I195" s="4"/>
      <c r="J195" s="4">
        <v>45961</v>
      </c>
      <c r="L195" s="16" t="str">
        <f t="shared" si="3"/>
        <v/>
      </c>
      <c r="M195" s="3"/>
      <c r="N195" s="3"/>
      <c r="O195" s="23"/>
    </row>
    <row r="196" spans="1:15" x14ac:dyDescent="0.15">
      <c r="A196" s="3" t="s">
        <v>443</v>
      </c>
      <c r="B196" s="4">
        <v>45967</v>
      </c>
      <c r="C196" s="3" t="s">
        <v>441</v>
      </c>
      <c r="D196" s="5">
        <v>33000</v>
      </c>
      <c r="E196" s="5" t="s">
        <v>368</v>
      </c>
      <c r="F196" s="3"/>
      <c r="G196" s="4"/>
      <c r="H196" s="4"/>
      <c r="I196" s="4"/>
      <c r="J196" s="4">
        <v>45972</v>
      </c>
      <c r="L196" s="16" t="str">
        <f t="shared" si="3"/>
        <v/>
      </c>
      <c r="M196" s="3"/>
      <c r="N196" s="3"/>
      <c r="O196" s="23"/>
    </row>
    <row r="197" spans="1:15" x14ac:dyDescent="0.15">
      <c r="A197" s="3" t="s">
        <v>461</v>
      </c>
      <c r="B197" s="4">
        <v>45975</v>
      </c>
      <c r="C197" s="3" t="s">
        <v>444</v>
      </c>
      <c r="D197" s="5">
        <v>11880</v>
      </c>
      <c r="E197" s="5" t="s">
        <v>368</v>
      </c>
      <c r="F197" s="3"/>
      <c r="G197" s="4"/>
      <c r="H197" s="4"/>
      <c r="I197" s="4"/>
      <c r="J197" s="4">
        <v>45979</v>
      </c>
      <c r="L197" s="16" t="str">
        <f t="shared" si="3"/>
        <v/>
      </c>
      <c r="M197" s="3"/>
      <c r="N197" s="3"/>
      <c r="O197" s="23"/>
    </row>
    <row r="198" spans="1:15" x14ac:dyDescent="0.15">
      <c r="A198" s="3" t="s">
        <v>446</v>
      </c>
      <c r="B198" s="4">
        <v>45975</v>
      </c>
      <c r="C198" s="3" t="s">
        <v>445</v>
      </c>
      <c r="D198" s="5">
        <v>25080</v>
      </c>
      <c r="E198" s="5" t="s">
        <v>368</v>
      </c>
      <c r="F198" s="3"/>
      <c r="G198" s="4"/>
      <c r="H198" s="4"/>
      <c r="I198" s="4">
        <v>45976</v>
      </c>
      <c r="J198" s="4">
        <v>45975</v>
      </c>
      <c r="L198" s="16" t="str">
        <f t="shared" si="3"/>
        <v/>
      </c>
      <c r="M198" s="3"/>
      <c r="N198" s="3"/>
      <c r="O198" s="23"/>
    </row>
    <row r="199" spans="1:15" x14ac:dyDescent="0.15">
      <c r="A199" s="3" t="s">
        <v>454</v>
      </c>
      <c r="B199" s="4">
        <v>45787</v>
      </c>
      <c r="C199" s="3" t="s">
        <v>22</v>
      </c>
      <c r="D199" s="5">
        <v>11000</v>
      </c>
      <c r="E199" s="5"/>
      <c r="F199" s="3" t="s">
        <v>447</v>
      </c>
      <c r="G199" s="4"/>
      <c r="H199" s="4"/>
      <c r="I199" s="4"/>
      <c r="J199" s="4">
        <v>45804</v>
      </c>
      <c r="L199" s="16" t="str">
        <f t="shared" si="3"/>
        <v/>
      </c>
      <c r="M199" s="3"/>
      <c r="N199" s="3"/>
      <c r="O199" s="23"/>
    </row>
    <row r="200" spans="1:15" x14ac:dyDescent="0.15">
      <c r="A200" s="3" t="s">
        <v>455</v>
      </c>
      <c r="B200" s="4">
        <v>45828</v>
      </c>
      <c r="C200" s="3" t="s">
        <v>22</v>
      </c>
      <c r="D200" s="5">
        <v>11000</v>
      </c>
      <c r="E200" s="5"/>
      <c r="F200" s="3" t="s">
        <v>448</v>
      </c>
      <c r="G200" s="4"/>
      <c r="H200" s="4"/>
      <c r="I200" s="4"/>
      <c r="J200" s="4">
        <v>45835</v>
      </c>
      <c r="L200" s="16" t="str">
        <f t="shared" si="3"/>
        <v/>
      </c>
      <c r="M200" s="3"/>
      <c r="N200" s="3"/>
      <c r="O200" s="23"/>
    </row>
    <row r="201" spans="1:15" x14ac:dyDescent="0.15">
      <c r="A201" s="3" t="s">
        <v>456</v>
      </c>
      <c r="B201" s="4">
        <v>45858</v>
      </c>
      <c r="C201" s="3" t="s">
        <v>22</v>
      </c>
      <c r="D201" s="5">
        <v>11000</v>
      </c>
      <c r="E201" s="5"/>
      <c r="F201" s="3" t="s">
        <v>449</v>
      </c>
      <c r="G201" s="4"/>
      <c r="H201" s="4"/>
      <c r="I201" s="4"/>
      <c r="J201" s="4">
        <v>45865</v>
      </c>
      <c r="L201" s="16" t="str">
        <f t="shared" si="3"/>
        <v/>
      </c>
      <c r="M201" s="3"/>
      <c r="N201" s="3"/>
      <c r="O201" s="23"/>
    </row>
    <row r="202" spans="1:15" x14ac:dyDescent="0.15">
      <c r="A202" s="3" t="s">
        <v>457</v>
      </c>
      <c r="B202" s="4">
        <v>45889</v>
      </c>
      <c r="C202" s="3" t="s">
        <v>22</v>
      </c>
      <c r="D202" s="5">
        <v>11000</v>
      </c>
      <c r="E202" s="5"/>
      <c r="F202" s="3" t="s">
        <v>450</v>
      </c>
      <c r="G202" s="4"/>
      <c r="H202" s="4"/>
      <c r="I202" s="4"/>
      <c r="J202" s="4">
        <v>45896</v>
      </c>
      <c r="L202" s="16" t="str">
        <f t="shared" si="3"/>
        <v/>
      </c>
      <c r="M202" s="3"/>
      <c r="N202" s="3"/>
      <c r="O202" s="23"/>
    </row>
    <row r="203" spans="1:15" x14ac:dyDescent="0.15">
      <c r="A203" s="3" t="s">
        <v>458</v>
      </c>
      <c r="B203" s="4">
        <v>45920</v>
      </c>
      <c r="C203" s="3" t="s">
        <v>22</v>
      </c>
      <c r="D203" s="5">
        <v>11000</v>
      </c>
      <c r="E203" s="5"/>
      <c r="F203" s="3" t="s">
        <v>451</v>
      </c>
      <c r="G203" s="4"/>
      <c r="H203" s="4"/>
      <c r="I203" s="4"/>
      <c r="J203" s="4">
        <v>45927</v>
      </c>
      <c r="L203" s="16" t="str">
        <f t="shared" si="3"/>
        <v/>
      </c>
      <c r="M203" s="3"/>
      <c r="N203" s="3"/>
      <c r="O203" s="23"/>
    </row>
    <row r="204" spans="1:15" x14ac:dyDescent="0.15">
      <c r="A204" s="3" t="s">
        <v>459</v>
      </c>
      <c r="B204" s="4">
        <v>45950</v>
      </c>
      <c r="C204" s="3" t="s">
        <v>22</v>
      </c>
      <c r="D204" s="5">
        <v>11000</v>
      </c>
      <c r="E204" s="5"/>
      <c r="F204" s="3" t="s">
        <v>452</v>
      </c>
      <c r="G204" s="4"/>
      <c r="H204" s="4"/>
      <c r="I204" s="4"/>
      <c r="J204" s="4">
        <v>45957</v>
      </c>
      <c r="L204" s="16" t="str">
        <f t="shared" si="3"/>
        <v/>
      </c>
      <c r="M204" s="3"/>
      <c r="N204" s="3"/>
      <c r="O204" s="23"/>
    </row>
    <row r="205" spans="1:15" x14ac:dyDescent="0.15">
      <c r="A205" s="3" t="s">
        <v>460</v>
      </c>
      <c r="B205" s="4">
        <v>45981</v>
      </c>
      <c r="C205" s="3" t="s">
        <v>22</v>
      </c>
      <c r="D205" s="5">
        <v>11000</v>
      </c>
      <c r="E205" s="5"/>
      <c r="F205" s="3" t="s">
        <v>453</v>
      </c>
      <c r="G205" s="4"/>
      <c r="H205" s="4"/>
      <c r="I205" s="4"/>
      <c r="J205" s="4">
        <v>45989</v>
      </c>
      <c r="L205" s="16" t="str">
        <f t="shared" si="3"/>
        <v/>
      </c>
      <c r="M205" s="3"/>
      <c r="N205" s="3"/>
      <c r="O205" s="23"/>
    </row>
    <row r="206" spans="1:15" s="20" customFormat="1" x14ac:dyDescent="0.15">
      <c r="A206" s="17" t="s">
        <v>464</v>
      </c>
      <c r="B206" s="18">
        <v>45874</v>
      </c>
      <c r="C206" s="17" t="s">
        <v>462</v>
      </c>
      <c r="D206" s="19">
        <v>319000</v>
      </c>
      <c r="E206" s="19"/>
      <c r="F206" s="17" t="s">
        <v>472</v>
      </c>
      <c r="G206" s="18"/>
      <c r="H206" s="18"/>
      <c r="I206" s="18"/>
      <c r="J206" s="18"/>
      <c r="L206" s="21" t="str">
        <f t="shared" si="3"/>
        <v/>
      </c>
      <c r="M206" s="17"/>
      <c r="N206" s="17"/>
      <c r="O206" s="26"/>
    </row>
    <row r="207" spans="1:15" s="20" customFormat="1" x14ac:dyDescent="0.15">
      <c r="A207" s="17" t="s">
        <v>465</v>
      </c>
      <c r="B207" s="18">
        <v>45905</v>
      </c>
      <c r="C207" s="17" t="s">
        <v>463</v>
      </c>
      <c r="D207" s="19">
        <v>241000</v>
      </c>
      <c r="E207" s="19"/>
      <c r="F207" s="17" t="s">
        <v>472</v>
      </c>
      <c r="G207" s="18"/>
      <c r="H207" s="18"/>
      <c r="I207" s="18"/>
      <c r="J207" s="18"/>
      <c r="L207" s="21" t="str">
        <f t="shared" si="3"/>
        <v/>
      </c>
      <c r="M207" s="17"/>
      <c r="N207" s="17"/>
      <c r="O207" s="26"/>
    </row>
    <row r="208" spans="1:15" x14ac:dyDescent="0.15">
      <c r="A208" s="3" t="s">
        <v>466</v>
      </c>
      <c r="B208" s="4">
        <v>45935</v>
      </c>
      <c r="C208" s="3" t="s">
        <v>377</v>
      </c>
      <c r="D208" s="5">
        <v>88000</v>
      </c>
      <c r="E208" s="5" t="s">
        <v>368</v>
      </c>
      <c r="F208" s="3" t="s">
        <v>496</v>
      </c>
      <c r="G208" s="4"/>
      <c r="H208" s="4"/>
      <c r="I208" s="4"/>
      <c r="J208" s="4">
        <v>46052</v>
      </c>
      <c r="L208" s="16" t="str">
        <f t="shared" si="3"/>
        <v/>
      </c>
      <c r="M208" s="3"/>
      <c r="N208" s="3"/>
      <c r="O208" s="23"/>
    </row>
    <row r="209" spans="1:15" x14ac:dyDescent="0.15">
      <c r="A209" s="3" t="s">
        <v>467</v>
      </c>
      <c r="B209" s="4">
        <v>45966</v>
      </c>
      <c r="C209" s="3" t="s">
        <v>377</v>
      </c>
      <c r="D209" s="5">
        <v>233000</v>
      </c>
      <c r="E209" s="5" t="s">
        <v>368</v>
      </c>
      <c r="F209" s="3" t="s">
        <v>497</v>
      </c>
      <c r="G209" s="4"/>
      <c r="H209" s="4"/>
      <c r="I209" s="4"/>
      <c r="J209" s="4">
        <v>46052</v>
      </c>
      <c r="L209" s="16" t="str">
        <f t="shared" si="3"/>
        <v/>
      </c>
      <c r="M209" s="3"/>
      <c r="N209" s="3"/>
      <c r="O209" s="23"/>
    </row>
    <row r="210" spans="1:15" x14ac:dyDescent="0.15">
      <c r="A210" s="3" t="s">
        <v>468</v>
      </c>
      <c r="B210" s="4">
        <v>45987</v>
      </c>
      <c r="C210" s="3" t="s">
        <v>469</v>
      </c>
      <c r="D210" s="5">
        <v>30888</v>
      </c>
      <c r="E210" s="5" t="s">
        <v>368</v>
      </c>
      <c r="F210" s="3" t="s">
        <v>470</v>
      </c>
      <c r="G210" s="4"/>
      <c r="H210" s="4"/>
      <c r="I210" s="4"/>
      <c r="J210" s="4">
        <v>45989</v>
      </c>
      <c r="L210" s="16" t="str">
        <f t="shared" si="3"/>
        <v/>
      </c>
      <c r="M210" s="3"/>
      <c r="N210" s="3"/>
      <c r="O210" s="23"/>
    </row>
    <row r="211" spans="1:15" x14ac:dyDescent="0.15">
      <c r="A211" s="3" t="s">
        <v>471</v>
      </c>
      <c r="B211" s="4">
        <v>45940</v>
      </c>
      <c r="C211" s="3" t="s">
        <v>498</v>
      </c>
      <c r="D211" s="5">
        <v>202500</v>
      </c>
      <c r="E211" s="5" t="s">
        <v>368</v>
      </c>
      <c r="F211" s="3" t="s">
        <v>494</v>
      </c>
      <c r="G211" s="4"/>
      <c r="H211" s="4"/>
      <c r="I211" s="4"/>
      <c r="J211" s="4">
        <v>45947</v>
      </c>
      <c r="L211" s="16" t="str">
        <f t="shared" si="3"/>
        <v/>
      </c>
      <c r="M211" s="3"/>
      <c r="N211" s="3"/>
      <c r="O211" s="23"/>
    </row>
    <row r="212" spans="1:15" x14ac:dyDescent="0.15">
      <c r="A212" s="3" t="s">
        <v>473</v>
      </c>
      <c r="B212" s="4">
        <v>45941</v>
      </c>
      <c r="C212" s="3" t="s">
        <v>498</v>
      </c>
      <c r="D212" s="5">
        <v>357500</v>
      </c>
      <c r="E212" s="5" t="s">
        <v>368</v>
      </c>
      <c r="F212" s="3" t="s">
        <v>495</v>
      </c>
      <c r="G212" s="4"/>
      <c r="H212" s="4"/>
      <c r="I212" s="4"/>
      <c r="J212" s="4">
        <v>46013</v>
      </c>
      <c r="L212" s="16" t="str">
        <f t="shared" si="3"/>
        <v/>
      </c>
      <c r="M212" s="3"/>
      <c r="N212" s="3"/>
      <c r="O212" s="23"/>
    </row>
    <row r="213" spans="1:15" x14ac:dyDescent="0.15">
      <c r="A213" s="3" t="s">
        <v>476</v>
      </c>
      <c r="B213" s="4">
        <v>45992</v>
      </c>
      <c r="C213" s="3" t="s">
        <v>474</v>
      </c>
      <c r="D213" s="5">
        <v>9900</v>
      </c>
      <c r="E213" s="5" t="s">
        <v>368</v>
      </c>
      <c r="F213" s="3"/>
      <c r="G213" s="4"/>
      <c r="H213" s="4"/>
      <c r="I213" s="4"/>
      <c r="J213" s="4">
        <v>46016</v>
      </c>
      <c r="L213" s="16" t="str">
        <f t="shared" si="3"/>
        <v/>
      </c>
      <c r="M213" s="3"/>
      <c r="N213" s="3"/>
      <c r="O213" s="23"/>
    </row>
    <row r="214" spans="1:15" x14ac:dyDescent="0.15">
      <c r="A214" s="3" t="s">
        <v>478</v>
      </c>
      <c r="B214" s="4">
        <v>45999</v>
      </c>
      <c r="C214" s="3" t="s">
        <v>477</v>
      </c>
      <c r="D214" s="5">
        <v>23760</v>
      </c>
      <c r="E214" s="5" t="s">
        <v>368</v>
      </c>
      <c r="F214" s="3"/>
      <c r="G214" s="4"/>
      <c r="H214" s="4"/>
      <c r="I214" s="4"/>
      <c r="J214" s="4">
        <v>46000</v>
      </c>
      <c r="L214" s="16" t="str">
        <f t="shared" si="3"/>
        <v/>
      </c>
      <c r="M214" s="3"/>
      <c r="N214" s="3"/>
      <c r="O214" s="23"/>
    </row>
    <row r="215" spans="1:15" x14ac:dyDescent="0.15">
      <c r="A215" s="3" t="s">
        <v>482</v>
      </c>
      <c r="B215" s="4">
        <v>45999</v>
      </c>
      <c r="C215" s="3" t="s">
        <v>479</v>
      </c>
      <c r="D215" s="5">
        <v>6270</v>
      </c>
      <c r="E215" s="5" t="s">
        <v>368</v>
      </c>
      <c r="F215" s="3"/>
      <c r="G215" s="4"/>
      <c r="H215" s="4"/>
      <c r="I215" s="4"/>
      <c r="J215" s="4">
        <v>45999</v>
      </c>
      <c r="L215" s="16" t="str">
        <f t="shared" si="3"/>
        <v/>
      </c>
      <c r="M215" s="3"/>
      <c r="N215" s="3"/>
      <c r="O215" s="23"/>
    </row>
    <row r="216" spans="1:15" x14ac:dyDescent="0.15">
      <c r="A216" s="3" t="s">
        <v>483</v>
      </c>
      <c r="B216" s="4">
        <v>46008</v>
      </c>
      <c r="C216" s="3" t="s">
        <v>225</v>
      </c>
      <c r="D216" s="5">
        <v>102960</v>
      </c>
      <c r="E216" s="5" t="s">
        <v>368</v>
      </c>
      <c r="F216" s="3"/>
      <c r="G216" s="4"/>
      <c r="H216" s="4"/>
      <c r="I216" s="4"/>
      <c r="J216" s="4">
        <v>46017</v>
      </c>
      <c r="L216" s="16" t="str">
        <f t="shared" si="3"/>
        <v/>
      </c>
      <c r="M216" s="3"/>
      <c r="N216" s="3"/>
      <c r="O216" s="23"/>
    </row>
    <row r="217" spans="1:15" x14ac:dyDescent="0.15">
      <c r="A217" s="3" t="s">
        <v>486</v>
      </c>
      <c r="B217" s="4">
        <v>46014</v>
      </c>
      <c r="C217" s="3" t="s">
        <v>484</v>
      </c>
      <c r="D217" s="5">
        <v>135300</v>
      </c>
      <c r="E217" s="5" t="s">
        <v>368</v>
      </c>
      <c r="F217" s="3" t="s">
        <v>487</v>
      </c>
      <c r="G217" s="4"/>
      <c r="H217" s="4"/>
      <c r="I217" s="4"/>
      <c r="J217" s="4">
        <v>46014</v>
      </c>
      <c r="L217" s="16" t="str">
        <f t="shared" si="3"/>
        <v/>
      </c>
      <c r="M217" s="3"/>
      <c r="N217" s="3"/>
      <c r="O217" s="23"/>
    </row>
    <row r="218" spans="1:15" x14ac:dyDescent="0.15">
      <c r="A218" s="3" t="s">
        <v>489</v>
      </c>
      <c r="B218" s="4">
        <v>46018</v>
      </c>
      <c r="C218" s="3" t="s">
        <v>488</v>
      </c>
      <c r="D218" s="5">
        <v>13200</v>
      </c>
      <c r="E218" s="5" t="s">
        <v>368</v>
      </c>
      <c r="F218" s="3"/>
      <c r="G218" s="4"/>
      <c r="H218" s="4"/>
      <c r="I218" s="4"/>
      <c r="J218" s="4">
        <v>46018</v>
      </c>
      <c r="L218" s="16" t="str">
        <f t="shared" si="3"/>
        <v/>
      </c>
      <c r="M218" s="3"/>
      <c r="N218" s="3"/>
      <c r="O218" s="23"/>
    </row>
    <row r="219" spans="1:15" x14ac:dyDescent="0.15">
      <c r="A219" s="3" t="s">
        <v>499</v>
      </c>
      <c r="B219" s="4">
        <v>46011</v>
      </c>
      <c r="C219" s="3" t="s">
        <v>490</v>
      </c>
      <c r="D219" s="5">
        <v>11000</v>
      </c>
      <c r="E219" s="5" t="s">
        <v>368</v>
      </c>
      <c r="F219" s="3" t="s">
        <v>491</v>
      </c>
      <c r="G219" s="4"/>
      <c r="H219" s="4"/>
      <c r="I219" s="4"/>
      <c r="J219" s="4">
        <v>46027</v>
      </c>
      <c r="L219" s="16" t="str">
        <f t="shared" si="3"/>
        <v/>
      </c>
      <c r="M219" s="3"/>
      <c r="N219" s="3"/>
      <c r="O219" s="23"/>
    </row>
    <row r="220" spans="1:15" x14ac:dyDescent="0.15">
      <c r="A220" s="3" t="s">
        <v>493</v>
      </c>
      <c r="B220" s="4">
        <v>46022</v>
      </c>
      <c r="C220" s="3" t="s">
        <v>492</v>
      </c>
      <c r="D220" s="5">
        <v>19800</v>
      </c>
      <c r="E220" s="5" t="s">
        <v>368</v>
      </c>
      <c r="F220" s="3" t="s">
        <v>500</v>
      </c>
      <c r="G220" s="4"/>
      <c r="H220" s="4"/>
      <c r="I220" s="4"/>
      <c r="J220" s="4">
        <v>46035</v>
      </c>
      <c r="L220" s="16" t="str">
        <f t="shared" si="3"/>
        <v/>
      </c>
      <c r="M220" s="3"/>
      <c r="N220" s="3"/>
      <c r="O220" s="23"/>
    </row>
    <row r="221" spans="1:15" x14ac:dyDescent="0.15">
      <c r="A221" s="3" t="s">
        <v>501</v>
      </c>
      <c r="B221" s="4">
        <v>46026</v>
      </c>
      <c r="C221" s="3" t="s">
        <v>537</v>
      </c>
      <c r="D221" s="5">
        <v>13200</v>
      </c>
      <c r="E221" s="5" t="s">
        <v>368</v>
      </c>
      <c r="F221" s="3" t="s">
        <v>502</v>
      </c>
      <c r="G221" s="4"/>
      <c r="H221" s="4"/>
      <c r="I221" s="4"/>
      <c r="J221" s="4">
        <v>46084</v>
      </c>
      <c r="L221" s="16" t="str">
        <f t="shared" si="3"/>
        <v/>
      </c>
      <c r="M221" s="3"/>
      <c r="N221" s="3"/>
      <c r="O221" s="23"/>
    </row>
    <row r="222" spans="1:15" x14ac:dyDescent="0.15">
      <c r="A222" s="3" t="s">
        <v>503</v>
      </c>
      <c r="B222" s="4">
        <v>46026</v>
      </c>
      <c r="C222" s="3" t="s">
        <v>505</v>
      </c>
      <c r="D222" s="5">
        <v>33000</v>
      </c>
      <c r="E222" s="5" t="s">
        <v>368</v>
      </c>
      <c r="F222" s="3" t="s">
        <v>504</v>
      </c>
      <c r="G222" s="4"/>
      <c r="H222" s="4"/>
      <c r="I222" s="4"/>
      <c r="J222" s="4">
        <v>46030</v>
      </c>
      <c r="L222" s="16" t="str">
        <f t="shared" si="3"/>
        <v/>
      </c>
      <c r="M222" s="3"/>
      <c r="N222" s="3"/>
      <c r="O222" s="23"/>
    </row>
    <row r="223" spans="1:15" x14ac:dyDescent="0.15">
      <c r="A223" s="3" t="s">
        <v>510</v>
      </c>
      <c r="B223" s="4">
        <v>46028</v>
      </c>
      <c r="C223" s="3" t="s">
        <v>509</v>
      </c>
      <c r="D223" s="5">
        <v>9350</v>
      </c>
      <c r="E223" s="5" t="s">
        <v>368</v>
      </c>
      <c r="F223" s="3"/>
      <c r="G223" s="4"/>
      <c r="H223" s="4"/>
      <c r="I223" s="4"/>
      <c r="J223" s="4">
        <v>46050</v>
      </c>
      <c r="L223" s="16" t="str">
        <f t="shared" si="3"/>
        <v/>
      </c>
      <c r="M223" s="3"/>
      <c r="N223" s="3"/>
      <c r="O223" s="23"/>
    </row>
    <row r="224" spans="1:15" x14ac:dyDescent="0.15">
      <c r="A224" s="3" t="s">
        <v>512</v>
      </c>
      <c r="B224" s="4">
        <v>46035</v>
      </c>
      <c r="C224" s="3" t="s">
        <v>518</v>
      </c>
      <c r="D224" s="5">
        <v>35640</v>
      </c>
      <c r="E224" s="5" t="s">
        <v>368</v>
      </c>
      <c r="F224" s="3" t="s">
        <v>515</v>
      </c>
      <c r="G224" s="4"/>
      <c r="H224" s="4"/>
      <c r="I224" s="4"/>
      <c r="J224" s="4">
        <v>46042</v>
      </c>
      <c r="L224" s="16" t="str">
        <f t="shared" si="3"/>
        <v/>
      </c>
      <c r="M224" s="3"/>
      <c r="N224" s="3"/>
      <c r="O224" s="23"/>
    </row>
    <row r="225" spans="1:15" x14ac:dyDescent="0.15">
      <c r="A225" s="3" t="s">
        <v>514</v>
      </c>
      <c r="B225" s="4">
        <v>46035</v>
      </c>
      <c r="C225" s="3" t="s">
        <v>513</v>
      </c>
      <c r="D225" s="5">
        <v>47520</v>
      </c>
      <c r="E225" s="5" t="s">
        <v>368</v>
      </c>
      <c r="F225" s="3" t="s">
        <v>516</v>
      </c>
      <c r="G225" s="4"/>
      <c r="H225" s="4"/>
      <c r="I225" s="4"/>
      <c r="J225" s="4">
        <v>46052</v>
      </c>
      <c r="L225" s="16" t="str">
        <f t="shared" si="3"/>
        <v/>
      </c>
      <c r="M225" s="3"/>
      <c r="N225" s="3"/>
      <c r="O225" s="23"/>
    </row>
    <row r="226" spans="1:15" x14ac:dyDescent="0.15">
      <c r="A226" s="3" t="s">
        <v>520</v>
      </c>
      <c r="B226" s="4">
        <v>46041</v>
      </c>
      <c r="C226" s="3" t="s">
        <v>519</v>
      </c>
      <c r="D226" s="5">
        <v>3135</v>
      </c>
      <c r="E226" s="5" t="s">
        <v>368</v>
      </c>
      <c r="F226" s="3"/>
      <c r="G226" s="4"/>
      <c r="H226" s="4"/>
      <c r="I226" s="4"/>
      <c r="J226" s="4">
        <v>46041</v>
      </c>
      <c r="L226" s="16" t="str">
        <f t="shared" si="3"/>
        <v/>
      </c>
      <c r="M226" s="3"/>
      <c r="N226" s="3"/>
      <c r="O226" s="23"/>
    </row>
    <row r="227" spans="1:15" x14ac:dyDescent="0.15">
      <c r="A227" s="3" t="s">
        <v>521</v>
      </c>
      <c r="B227" s="4">
        <v>46027</v>
      </c>
      <c r="C227" s="3" t="s">
        <v>498</v>
      </c>
      <c r="D227" s="5">
        <v>61600</v>
      </c>
      <c r="E227" s="5" t="s">
        <v>368</v>
      </c>
      <c r="F227" s="3" t="s">
        <v>522</v>
      </c>
      <c r="G227" s="4"/>
      <c r="H227" s="4"/>
      <c r="I227" s="4"/>
      <c r="J227" s="4">
        <v>46080</v>
      </c>
      <c r="L227" s="16" t="str">
        <f t="shared" si="3"/>
        <v/>
      </c>
      <c r="M227" s="3"/>
      <c r="N227" s="3"/>
      <c r="O227" s="23"/>
    </row>
    <row r="228" spans="1:15" x14ac:dyDescent="0.15">
      <c r="A228" s="3" t="s">
        <v>523</v>
      </c>
      <c r="B228" s="4">
        <v>46045</v>
      </c>
      <c r="C228" s="3" t="s">
        <v>498</v>
      </c>
      <c r="D228" s="5">
        <v>79200</v>
      </c>
      <c r="E228" s="5" t="s">
        <v>368</v>
      </c>
      <c r="F228" s="3" t="s">
        <v>524</v>
      </c>
      <c r="G228" s="4"/>
      <c r="H228" s="4"/>
      <c r="I228" s="4"/>
      <c r="J228" s="4">
        <v>46080</v>
      </c>
      <c r="L228" s="16" t="str">
        <f t="shared" si="3"/>
        <v/>
      </c>
      <c r="M228" s="3"/>
      <c r="N228" s="3"/>
      <c r="O228" s="23"/>
    </row>
    <row r="229" spans="1:15" x14ac:dyDescent="0.15">
      <c r="A229" s="3" t="s">
        <v>527</v>
      </c>
      <c r="B229" s="4">
        <v>46048</v>
      </c>
      <c r="C229" s="3" t="s">
        <v>525</v>
      </c>
      <c r="D229" s="5">
        <v>48510</v>
      </c>
      <c r="E229" s="5" t="s">
        <v>368</v>
      </c>
      <c r="F229" s="3" t="s">
        <v>528</v>
      </c>
      <c r="G229" s="4"/>
      <c r="H229" s="4"/>
      <c r="I229" s="4"/>
      <c r="J229" s="4">
        <v>46080</v>
      </c>
      <c r="L229" s="16" t="str">
        <f t="shared" si="3"/>
        <v/>
      </c>
      <c r="M229" s="3"/>
      <c r="N229" s="3"/>
      <c r="O229" s="23"/>
    </row>
    <row r="230" spans="1:15" x14ac:dyDescent="0.15">
      <c r="A230" s="3" t="s">
        <v>529</v>
      </c>
      <c r="B230" s="4">
        <v>46037</v>
      </c>
      <c r="C230" s="3" t="s">
        <v>225</v>
      </c>
      <c r="D230" s="5">
        <v>143500</v>
      </c>
      <c r="E230" s="5" t="s">
        <v>368</v>
      </c>
      <c r="F230" s="3" t="s">
        <v>524</v>
      </c>
      <c r="G230" s="4"/>
      <c r="H230" s="4"/>
      <c r="I230" s="4"/>
      <c r="J230" s="4">
        <v>46052</v>
      </c>
      <c r="L230" s="16" t="str">
        <f t="shared" si="3"/>
        <v/>
      </c>
      <c r="M230" s="3"/>
      <c r="N230" s="3"/>
      <c r="O230" s="23"/>
    </row>
    <row r="231" spans="1:15" x14ac:dyDescent="0.15">
      <c r="A231" s="3" t="s">
        <v>531</v>
      </c>
      <c r="B231" s="4">
        <v>46058</v>
      </c>
      <c r="C231" s="3" t="s">
        <v>530</v>
      </c>
      <c r="D231" s="5">
        <v>12540</v>
      </c>
      <c r="E231" s="5" t="s">
        <v>368</v>
      </c>
      <c r="F231" s="3"/>
      <c r="G231" s="4"/>
      <c r="H231" s="4"/>
      <c r="I231" s="4"/>
      <c r="J231" s="4">
        <v>46072</v>
      </c>
      <c r="L231" s="16" t="str">
        <f t="shared" si="3"/>
        <v/>
      </c>
      <c r="M231" s="3"/>
      <c r="N231" s="3"/>
      <c r="O231" s="23"/>
    </row>
    <row r="232" spans="1:15" x14ac:dyDescent="0.15">
      <c r="A232" s="3" t="s">
        <v>533</v>
      </c>
      <c r="B232" s="4">
        <v>46070</v>
      </c>
      <c r="C232" s="3" t="s">
        <v>532</v>
      </c>
      <c r="D232" s="5">
        <v>72600</v>
      </c>
      <c r="E232" s="5" t="s">
        <v>368</v>
      </c>
      <c r="F232" s="3"/>
      <c r="G232" s="4"/>
      <c r="H232" s="4"/>
      <c r="I232" s="4"/>
      <c r="J232" s="4">
        <v>46080</v>
      </c>
      <c r="L232" s="16" t="str">
        <f t="shared" si="3"/>
        <v/>
      </c>
      <c r="M232" s="3"/>
      <c r="N232" s="3"/>
      <c r="O232" s="23"/>
    </row>
    <row r="233" spans="1:15" x14ac:dyDescent="0.15">
      <c r="A233" s="3" t="s">
        <v>534</v>
      </c>
      <c r="B233" s="4">
        <v>46073</v>
      </c>
      <c r="C233" s="3" t="s">
        <v>47</v>
      </c>
      <c r="D233" s="5">
        <v>3135</v>
      </c>
      <c r="E233" s="5" t="s">
        <v>368</v>
      </c>
      <c r="F233" s="3"/>
      <c r="G233" s="4"/>
      <c r="H233" s="4"/>
      <c r="I233" s="4"/>
      <c r="J233" s="4">
        <v>46090</v>
      </c>
      <c r="L233" s="16" t="str">
        <f t="shared" si="3"/>
        <v/>
      </c>
      <c r="M233" s="3"/>
      <c r="N233" s="3"/>
      <c r="O233" s="23"/>
    </row>
    <row r="234" spans="1:15" x14ac:dyDescent="0.15">
      <c r="A234" s="3" t="s">
        <v>535</v>
      </c>
      <c r="B234" s="4">
        <v>46042</v>
      </c>
      <c r="C234" s="3" t="s">
        <v>22</v>
      </c>
      <c r="D234" s="5">
        <v>11000</v>
      </c>
      <c r="E234" s="5" t="s">
        <v>368</v>
      </c>
      <c r="F234" s="3"/>
      <c r="G234" s="4"/>
      <c r="H234" s="4"/>
      <c r="I234" s="4"/>
      <c r="J234" s="4">
        <v>46047</v>
      </c>
      <c r="L234" s="16" t="str">
        <f t="shared" si="3"/>
        <v/>
      </c>
      <c r="M234" s="3"/>
      <c r="N234" s="3"/>
      <c r="O234" s="23"/>
    </row>
    <row r="235" spans="1:15" x14ac:dyDescent="0.15">
      <c r="A235" s="3" t="s">
        <v>536</v>
      </c>
      <c r="B235" s="4">
        <v>46073</v>
      </c>
      <c r="C235" s="3" t="s">
        <v>22</v>
      </c>
      <c r="D235" s="5">
        <v>39600</v>
      </c>
      <c r="E235" s="5" t="s">
        <v>368</v>
      </c>
      <c r="F235" s="3"/>
      <c r="G235" s="4"/>
      <c r="H235" s="4"/>
      <c r="I235" s="4"/>
      <c r="J235" s="4">
        <v>46080</v>
      </c>
      <c r="L235" s="16" t="str">
        <f t="shared" si="3"/>
        <v/>
      </c>
      <c r="M235" s="3"/>
      <c r="N235" s="3"/>
      <c r="O235" s="23"/>
    </row>
    <row r="236" spans="1:15" x14ac:dyDescent="0.15">
      <c r="A236" s="3" t="s">
        <v>540</v>
      </c>
      <c r="B236" s="4">
        <v>46085</v>
      </c>
      <c r="C236" s="3" t="s">
        <v>47</v>
      </c>
      <c r="D236" s="5">
        <v>3135</v>
      </c>
      <c r="E236" s="5" t="s">
        <v>368</v>
      </c>
      <c r="F236" s="3"/>
      <c r="G236" s="4"/>
      <c r="H236" s="4"/>
      <c r="I236" s="4"/>
      <c r="J236" s="4">
        <v>46087</v>
      </c>
      <c r="L236" s="16" t="str">
        <f t="shared" si="3"/>
        <v/>
      </c>
      <c r="M236" s="3"/>
      <c r="N236" s="3"/>
      <c r="O236" s="23"/>
    </row>
    <row r="237" spans="1:15" x14ac:dyDescent="0.15">
      <c r="A237" s="3" t="s">
        <v>541</v>
      </c>
      <c r="B237" s="4">
        <v>46086</v>
      </c>
      <c r="C237" s="3" t="s">
        <v>479</v>
      </c>
      <c r="D237" s="5">
        <v>31350</v>
      </c>
      <c r="E237" s="5" t="s">
        <v>368</v>
      </c>
      <c r="F237" s="3"/>
      <c r="G237" s="4"/>
      <c r="H237" s="4"/>
      <c r="I237" s="4"/>
      <c r="J237" s="4">
        <v>46087</v>
      </c>
      <c r="L237" s="16" t="str">
        <f t="shared" si="3"/>
        <v/>
      </c>
      <c r="M237" s="3"/>
      <c r="N237" s="3"/>
      <c r="O237" s="23"/>
    </row>
    <row r="238" spans="1:15" x14ac:dyDescent="0.15">
      <c r="A238" s="3" t="s">
        <v>543</v>
      </c>
      <c r="B238" s="4">
        <v>46086</v>
      </c>
      <c r="C238" s="3" t="s">
        <v>542</v>
      </c>
      <c r="D238" s="5">
        <v>6600</v>
      </c>
      <c r="E238" s="5" t="s">
        <v>368</v>
      </c>
      <c r="F238" s="3"/>
      <c r="G238" s="4"/>
      <c r="H238" s="4"/>
      <c r="I238" s="4"/>
      <c r="J238" s="4">
        <v>46094</v>
      </c>
      <c r="L238" s="16" t="str">
        <f t="shared" si="3"/>
        <v/>
      </c>
      <c r="M238" s="3"/>
      <c r="N238" s="3"/>
      <c r="O238" s="23"/>
    </row>
    <row r="239" spans="1:15" x14ac:dyDescent="0.15">
      <c r="A239" s="3" t="s">
        <v>544</v>
      </c>
      <c r="B239" s="4">
        <v>46094</v>
      </c>
      <c r="C239" s="3" t="s">
        <v>225</v>
      </c>
      <c r="D239" s="5">
        <v>40590</v>
      </c>
      <c r="E239" s="5" t="s">
        <v>368</v>
      </c>
      <c r="F239" s="3"/>
      <c r="G239" s="4"/>
      <c r="H239" s="4"/>
      <c r="I239" s="4"/>
      <c r="J239" s="4"/>
      <c r="L239" s="16">
        <f t="shared" si="3"/>
        <v>40590</v>
      </c>
      <c r="M239" s="3"/>
      <c r="N239" s="3"/>
      <c r="O239" s="23"/>
    </row>
    <row r="240" spans="1:15" x14ac:dyDescent="0.15">
      <c r="A240" s="3" t="s">
        <v>546</v>
      </c>
      <c r="B240" s="4">
        <v>46105</v>
      </c>
      <c r="C240" s="3" t="s">
        <v>545</v>
      </c>
      <c r="D240" s="5">
        <v>71280</v>
      </c>
      <c r="E240" s="5" t="s">
        <v>368</v>
      </c>
      <c r="F240" s="3"/>
      <c r="G240" s="4"/>
      <c r="H240" s="4"/>
      <c r="I240" s="4"/>
      <c r="J240" s="4"/>
      <c r="L240" s="16">
        <f t="shared" si="3"/>
        <v>71280</v>
      </c>
      <c r="M240" s="3"/>
      <c r="N240" s="3"/>
      <c r="O240" s="23"/>
    </row>
    <row r="241" spans="1:15" x14ac:dyDescent="0.15">
      <c r="A241" s="3"/>
      <c r="B241" s="4"/>
      <c r="C241" s="3"/>
      <c r="D241" s="5"/>
      <c r="E241" s="5"/>
      <c r="G241" s="4"/>
      <c r="H241" s="4"/>
      <c r="I241" s="4"/>
      <c r="J241" s="4"/>
      <c r="L241" s="16" t="str">
        <f t="shared" si="3"/>
        <v/>
      </c>
      <c r="M241" s="3"/>
      <c r="N241" s="3"/>
      <c r="O241" s="23"/>
    </row>
    <row r="242" spans="1:15" x14ac:dyDescent="0.15">
      <c r="A242" s="3"/>
      <c r="B242" s="4"/>
      <c r="C242" s="3"/>
      <c r="D242" s="5"/>
      <c r="E242" s="5"/>
      <c r="G242" s="4"/>
      <c r="H242" s="4"/>
      <c r="I242" s="4"/>
      <c r="J242" s="4"/>
      <c r="L242" s="16" t="str">
        <f t="shared" ref="L242:L305" si="4">IF(AND(J242="",E242="請求書"),D242,"")</f>
        <v/>
      </c>
      <c r="M242" s="3"/>
      <c r="N242" s="3"/>
      <c r="O242" s="23"/>
    </row>
    <row r="243" spans="1:15" x14ac:dyDescent="0.15">
      <c r="A243" s="3"/>
      <c r="B243" s="4"/>
      <c r="C243" s="3"/>
      <c r="D243" s="5"/>
      <c r="E243" s="5"/>
      <c r="G243" s="4"/>
      <c r="H243" s="4"/>
      <c r="I243" s="4"/>
      <c r="J243" s="4"/>
      <c r="L243" s="16" t="str">
        <f t="shared" si="4"/>
        <v/>
      </c>
      <c r="M243" s="3"/>
      <c r="N243" s="3"/>
      <c r="O243" s="23"/>
    </row>
    <row r="244" spans="1:15" x14ac:dyDescent="0.15">
      <c r="A244" s="3"/>
      <c r="B244" s="4"/>
      <c r="C244" s="3"/>
      <c r="D244" s="5"/>
      <c r="E244" s="5"/>
      <c r="G244" s="4"/>
      <c r="H244" s="4"/>
      <c r="I244" s="4"/>
      <c r="J244" s="4"/>
      <c r="L244" s="16" t="str">
        <f t="shared" si="4"/>
        <v/>
      </c>
      <c r="M244" s="3"/>
      <c r="N244" s="3"/>
      <c r="O244" s="23"/>
    </row>
    <row r="245" spans="1:15" x14ac:dyDescent="0.15">
      <c r="A245" s="3"/>
      <c r="B245" s="4"/>
      <c r="C245" s="3"/>
      <c r="D245" s="5"/>
      <c r="E245" s="5"/>
      <c r="G245" s="4"/>
      <c r="H245" s="4"/>
      <c r="I245" s="4"/>
      <c r="J245" s="4"/>
      <c r="L245" s="16" t="str">
        <f t="shared" si="4"/>
        <v/>
      </c>
      <c r="M245" s="3"/>
      <c r="N245" s="3"/>
      <c r="O245" s="23"/>
    </row>
    <row r="246" spans="1:15" x14ac:dyDescent="0.15">
      <c r="A246" s="3"/>
      <c r="B246" s="4"/>
      <c r="C246" s="3"/>
      <c r="D246" s="5"/>
      <c r="E246" s="5"/>
      <c r="G246" s="4"/>
      <c r="H246" s="4"/>
      <c r="I246" s="4"/>
      <c r="J246" s="4"/>
      <c r="L246" s="16" t="str">
        <f t="shared" si="4"/>
        <v/>
      </c>
      <c r="M246" s="3"/>
      <c r="N246" s="3"/>
      <c r="O246" s="23"/>
    </row>
    <row r="247" spans="1:15" x14ac:dyDescent="0.15">
      <c r="A247" s="3"/>
      <c r="B247" s="4"/>
      <c r="C247" s="3"/>
      <c r="D247" s="5"/>
      <c r="E247" s="5"/>
      <c r="G247" s="4"/>
      <c r="H247" s="4"/>
      <c r="I247" s="4"/>
      <c r="J247" s="4"/>
      <c r="L247" s="16" t="str">
        <f t="shared" si="4"/>
        <v/>
      </c>
      <c r="M247" s="3"/>
      <c r="N247" s="3"/>
      <c r="O247" s="23"/>
    </row>
    <row r="248" spans="1:15" x14ac:dyDescent="0.15">
      <c r="A248" s="3"/>
      <c r="B248" s="4"/>
      <c r="C248" s="3"/>
      <c r="D248" s="5"/>
      <c r="E248" s="5"/>
      <c r="G248" s="4"/>
      <c r="H248" s="4"/>
      <c r="I248" s="4"/>
      <c r="J248" s="4"/>
      <c r="L248" s="16" t="str">
        <f t="shared" si="4"/>
        <v/>
      </c>
      <c r="M248" s="3"/>
      <c r="N248" s="3"/>
      <c r="O248" s="23"/>
    </row>
    <row r="249" spans="1:15" x14ac:dyDescent="0.15">
      <c r="A249" s="3"/>
      <c r="B249" s="4"/>
      <c r="C249" s="3"/>
      <c r="D249" s="5"/>
      <c r="E249" s="5"/>
      <c r="G249" s="4"/>
      <c r="H249" s="4"/>
      <c r="I249" s="4"/>
      <c r="J249" s="4"/>
      <c r="L249" s="16" t="str">
        <f t="shared" si="4"/>
        <v/>
      </c>
      <c r="M249" s="3"/>
      <c r="N249" s="3"/>
      <c r="O249" s="23"/>
    </row>
    <row r="250" spans="1:15" x14ac:dyDescent="0.15">
      <c r="A250" s="3"/>
      <c r="B250" s="4"/>
      <c r="C250" s="3"/>
      <c r="D250" s="5"/>
      <c r="E250" s="5"/>
      <c r="G250" s="4"/>
      <c r="H250" s="4"/>
      <c r="I250" s="4"/>
      <c r="J250" s="4"/>
      <c r="L250" s="16" t="str">
        <f t="shared" si="4"/>
        <v/>
      </c>
      <c r="M250" s="3"/>
      <c r="N250" s="3"/>
      <c r="O250" s="23"/>
    </row>
    <row r="251" spans="1:15" x14ac:dyDescent="0.15">
      <c r="A251" s="3"/>
      <c r="B251" s="4"/>
      <c r="C251" s="3"/>
      <c r="D251" s="5"/>
      <c r="E251" s="5"/>
      <c r="G251" s="4"/>
      <c r="H251" s="4"/>
      <c r="I251" s="4"/>
      <c r="J251" s="4"/>
      <c r="L251" s="16" t="str">
        <f t="shared" si="4"/>
        <v/>
      </c>
      <c r="M251" s="3"/>
      <c r="N251" s="3"/>
      <c r="O251" s="23"/>
    </row>
    <row r="252" spans="1:15" x14ac:dyDescent="0.15">
      <c r="A252" s="3"/>
      <c r="B252" s="4"/>
      <c r="C252" s="3"/>
      <c r="D252" s="5"/>
      <c r="E252" s="5"/>
      <c r="G252" s="4"/>
      <c r="H252" s="4"/>
      <c r="I252" s="4"/>
      <c r="J252" s="4"/>
      <c r="L252" s="16" t="str">
        <f t="shared" si="4"/>
        <v/>
      </c>
      <c r="M252" s="3"/>
      <c r="N252" s="3"/>
      <c r="O252" s="23"/>
    </row>
    <row r="253" spans="1:15" x14ac:dyDescent="0.15">
      <c r="A253" s="3"/>
      <c r="B253" s="4"/>
      <c r="C253" s="3"/>
      <c r="D253" s="5"/>
      <c r="E253" s="5"/>
      <c r="G253" s="4"/>
      <c r="H253" s="4"/>
      <c r="I253" s="4"/>
      <c r="J253" s="4"/>
      <c r="L253" s="16" t="str">
        <f t="shared" si="4"/>
        <v/>
      </c>
      <c r="M253" s="3"/>
      <c r="N253" s="3"/>
      <c r="O253" s="23"/>
    </row>
    <row r="254" spans="1:15" x14ac:dyDescent="0.15">
      <c r="A254" s="3"/>
      <c r="B254" s="4"/>
      <c r="C254" s="3"/>
      <c r="D254" s="5"/>
      <c r="E254" s="5"/>
      <c r="G254" s="4"/>
      <c r="H254" s="4"/>
      <c r="I254" s="4"/>
      <c r="J254" s="4"/>
      <c r="L254" s="16" t="str">
        <f t="shared" si="4"/>
        <v/>
      </c>
      <c r="M254" s="3"/>
      <c r="N254" s="3"/>
      <c r="O254" s="23"/>
    </row>
    <row r="255" spans="1:15" x14ac:dyDescent="0.15">
      <c r="A255" s="3"/>
      <c r="B255" s="4"/>
      <c r="C255" s="3"/>
      <c r="D255" s="5"/>
      <c r="E255" s="5"/>
      <c r="G255" s="4"/>
      <c r="H255" s="4"/>
      <c r="I255" s="4"/>
      <c r="J255" s="4"/>
      <c r="L255" s="16" t="str">
        <f t="shared" si="4"/>
        <v/>
      </c>
      <c r="M255" s="3"/>
      <c r="N255" s="3"/>
      <c r="O255" s="23"/>
    </row>
    <row r="256" spans="1:15" x14ac:dyDescent="0.15">
      <c r="A256" s="3"/>
      <c r="B256" s="4"/>
      <c r="C256" s="3"/>
      <c r="D256" s="5"/>
      <c r="E256" s="5"/>
      <c r="G256" s="4"/>
      <c r="H256" s="4"/>
      <c r="I256" s="4"/>
      <c r="J256" s="4"/>
      <c r="L256" s="16" t="str">
        <f t="shared" si="4"/>
        <v/>
      </c>
      <c r="M256" s="3"/>
      <c r="N256" s="3"/>
      <c r="O256" s="23"/>
    </row>
    <row r="257" spans="1:15" x14ac:dyDescent="0.15">
      <c r="A257" s="3"/>
      <c r="B257" s="4"/>
      <c r="C257" s="3"/>
      <c r="D257" s="5"/>
      <c r="E257" s="5"/>
      <c r="G257" s="4"/>
      <c r="H257" s="4"/>
      <c r="I257" s="4"/>
      <c r="J257" s="4"/>
      <c r="L257" s="16" t="str">
        <f t="shared" si="4"/>
        <v/>
      </c>
      <c r="M257" s="3"/>
      <c r="N257" s="3"/>
      <c r="O257" s="23"/>
    </row>
    <row r="258" spans="1:15" x14ac:dyDescent="0.15">
      <c r="A258" s="3"/>
      <c r="B258" s="4"/>
      <c r="C258" s="3"/>
      <c r="D258" s="5"/>
      <c r="E258" s="5"/>
      <c r="G258" s="4"/>
      <c r="H258" s="4"/>
      <c r="I258" s="4"/>
      <c r="J258" s="4"/>
      <c r="L258" s="16" t="str">
        <f t="shared" si="4"/>
        <v/>
      </c>
      <c r="M258" s="3"/>
      <c r="N258" s="3"/>
      <c r="O258" s="23"/>
    </row>
    <row r="259" spans="1:15" x14ac:dyDescent="0.15">
      <c r="A259" s="3"/>
      <c r="B259" s="4"/>
      <c r="C259" s="3"/>
      <c r="D259" s="5"/>
      <c r="E259" s="5"/>
      <c r="G259" s="4"/>
      <c r="H259" s="4"/>
      <c r="I259" s="4"/>
      <c r="J259" s="4"/>
      <c r="L259" s="16" t="str">
        <f t="shared" si="4"/>
        <v/>
      </c>
      <c r="M259" s="3"/>
      <c r="N259" s="3"/>
      <c r="O259" s="23"/>
    </row>
    <row r="260" spans="1:15" x14ac:dyDescent="0.15">
      <c r="A260" s="3"/>
      <c r="B260" s="4"/>
      <c r="C260" s="3"/>
      <c r="D260" s="5"/>
      <c r="E260" s="5"/>
      <c r="G260" s="4"/>
      <c r="H260" s="4"/>
      <c r="I260" s="4"/>
      <c r="J260" s="4"/>
      <c r="L260" s="16" t="str">
        <f t="shared" si="4"/>
        <v/>
      </c>
      <c r="M260" s="3"/>
      <c r="N260" s="3"/>
      <c r="O260" s="23"/>
    </row>
    <row r="261" spans="1:15" x14ac:dyDescent="0.15">
      <c r="A261" s="3"/>
      <c r="B261" s="4"/>
      <c r="C261" s="3"/>
      <c r="D261" s="5"/>
      <c r="E261" s="5"/>
      <c r="G261" s="4"/>
      <c r="H261" s="4"/>
      <c r="I261" s="4"/>
      <c r="J261" s="4"/>
      <c r="L261" s="16" t="str">
        <f t="shared" si="4"/>
        <v/>
      </c>
      <c r="M261" s="3"/>
      <c r="N261" s="3"/>
      <c r="O261" s="23"/>
    </row>
    <row r="262" spans="1:15" x14ac:dyDescent="0.15">
      <c r="A262" s="3"/>
      <c r="B262" s="4"/>
      <c r="C262" s="3"/>
      <c r="D262" s="5"/>
      <c r="E262" s="5"/>
      <c r="G262" s="4"/>
      <c r="H262" s="4"/>
      <c r="I262" s="4"/>
      <c r="J262" s="4"/>
      <c r="L262" s="16" t="str">
        <f t="shared" si="4"/>
        <v/>
      </c>
      <c r="M262" s="3"/>
      <c r="N262" s="3"/>
      <c r="O262" s="23"/>
    </row>
    <row r="263" spans="1:15" x14ac:dyDescent="0.15">
      <c r="A263" s="3"/>
      <c r="B263" s="4"/>
      <c r="C263" s="3"/>
      <c r="D263" s="5"/>
      <c r="E263" s="5"/>
      <c r="G263" s="4"/>
      <c r="H263" s="4"/>
      <c r="I263" s="4"/>
      <c r="J263" s="4"/>
      <c r="L263" s="16" t="str">
        <f t="shared" si="4"/>
        <v/>
      </c>
      <c r="M263" s="3"/>
      <c r="N263" s="3"/>
      <c r="O263" s="23"/>
    </row>
    <row r="264" spans="1:15" x14ac:dyDescent="0.15">
      <c r="A264" s="3"/>
      <c r="B264" s="4"/>
      <c r="C264" s="3"/>
      <c r="D264" s="5"/>
      <c r="E264" s="5"/>
      <c r="G264" s="4"/>
      <c r="H264" s="4"/>
      <c r="I264" s="4"/>
      <c r="J264" s="4"/>
      <c r="L264" s="16" t="str">
        <f t="shared" si="4"/>
        <v/>
      </c>
      <c r="M264" s="3"/>
      <c r="N264" s="3"/>
      <c r="O264" s="23"/>
    </row>
    <row r="265" spans="1:15" x14ac:dyDescent="0.15">
      <c r="A265" s="3"/>
      <c r="B265" s="4"/>
      <c r="C265" s="3"/>
      <c r="D265" s="5"/>
      <c r="E265" s="5"/>
      <c r="G265" s="4"/>
      <c r="H265" s="4"/>
      <c r="I265" s="4"/>
      <c r="J265" s="4"/>
      <c r="L265" s="16" t="str">
        <f t="shared" si="4"/>
        <v/>
      </c>
      <c r="M265" s="3"/>
      <c r="N265" s="3"/>
      <c r="O265" s="23"/>
    </row>
    <row r="266" spans="1:15" x14ac:dyDescent="0.15">
      <c r="A266" s="3"/>
      <c r="B266" s="4"/>
      <c r="C266" s="3"/>
      <c r="D266" s="5"/>
      <c r="E266" s="5"/>
      <c r="G266" s="4"/>
      <c r="H266" s="4"/>
      <c r="I266" s="4"/>
      <c r="J266" s="4"/>
      <c r="L266" s="16" t="str">
        <f t="shared" si="4"/>
        <v/>
      </c>
      <c r="M266" s="3"/>
      <c r="N266" s="3"/>
      <c r="O266" s="23"/>
    </row>
    <row r="267" spans="1:15" x14ac:dyDescent="0.15">
      <c r="A267" s="3"/>
      <c r="B267" s="4"/>
      <c r="C267" s="3"/>
      <c r="D267" s="5"/>
      <c r="E267" s="5"/>
      <c r="G267" s="4"/>
      <c r="H267" s="4"/>
      <c r="I267" s="4"/>
      <c r="J267" s="4"/>
      <c r="L267" s="16" t="str">
        <f t="shared" si="4"/>
        <v/>
      </c>
      <c r="M267" s="3"/>
      <c r="N267" s="3"/>
      <c r="O267" s="23"/>
    </row>
    <row r="268" spans="1:15" x14ac:dyDescent="0.15">
      <c r="A268" s="3"/>
      <c r="B268" s="4"/>
      <c r="C268" s="3"/>
      <c r="D268" s="5"/>
      <c r="E268" s="5"/>
      <c r="G268" s="4"/>
      <c r="H268" s="4"/>
      <c r="I268" s="4"/>
      <c r="J268" s="4"/>
      <c r="L268" s="16" t="str">
        <f t="shared" si="4"/>
        <v/>
      </c>
      <c r="M268" s="3"/>
      <c r="N268" s="3"/>
      <c r="O268" s="23"/>
    </row>
    <row r="269" spans="1:15" x14ac:dyDescent="0.15">
      <c r="A269" s="3"/>
      <c r="B269" s="4"/>
      <c r="C269" s="3"/>
      <c r="D269" s="5"/>
      <c r="E269" s="5"/>
      <c r="G269" s="4"/>
      <c r="H269" s="4"/>
      <c r="I269" s="4"/>
      <c r="J269" s="4"/>
      <c r="L269" s="16" t="str">
        <f t="shared" si="4"/>
        <v/>
      </c>
      <c r="M269" s="3"/>
      <c r="N269" s="3"/>
      <c r="O269" s="23"/>
    </row>
    <row r="270" spans="1:15" x14ac:dyDescent="0.15">
      <c r="A270" s="3"/>
      <c r="B270" s="4"/>
      <c r="C270" s="3"/>
      <c r="D270" s="5"/>
      <c r="E270" s="5"/>
      <c r="G270" s="4"/>
      <c r="H270" s="4"/>
      <c r="I270" s="4"/>
      <c r="J270" s="4"/>
      <c r="L270" s="16" t="str">
        <f t="shared" si="4"/>
        <v/>
      </c>
      <c r="M270" s="3"/>
      <c r="N270" s="3"/>
      <c r="O270" s="23"/>
    </row>
    <row r="271" spans="1:15" x14ac:dyDescent="0.15">
      <c r="A271" s="3"/>
      <c r="B271" s="4"/>
      <c r="C271" s="3"/>
      <c r="D271" s="5"/>
      <c r="E271" s="5"/>
      <c r="G271" s="4"/>
      <c r="H271" s="4"/>
      <c r="I271" s="4"/>
      <c r="J271" s="4"/>
      <c r="L271" s="16" t="str">
        <f t="shared" si="4"/>
        <v/>
      </c>
      <c r="M271" s="3"/>
      <c r="N271" s="3"/>
      <c r="O271" s="23"/>
    </row>
    <row r="272" spans="1:15" x14ac:dyDescent="0.15">
      <c r="A272" s="3"/>
      <c r="B272" s="4"/>
      <c r="C272" s="3"/>
      <c r="D272" s="5"/>
      <c r="E272" s="5"/>
      <c r="G272" s="4"/>
      <c r="H272" s="4"/>
      <c r="I272" s="4"/>
      <c r="J272" s="4"/>
      <c r="L272" s="16" t="str">
        <f t="shared" si="4"/>
        <v/>
      </c>
      <c r="M272" s="3"/>
      <c r="N272" s="3"/>
      <c r="O272" s="23"/>
    </row>
    <row r="273" spans="1:15" x14ac:dyDescent="0.15">
      <c r="A273" s="3"/>
      <c r="B273" s="4"/>
      <c r="C273" s="3"/>
      <c r="D273" s="5"/>
      <c r="E273" s="5"/>
      <c r="G273" s="4"/>
      <c r="H273" s="4"/>
      <c r="I273" s="4"/>
      <c r="J273" s="4"/>
      <c r="L273" s="16" t="str">
        <f t="shared" si="4"/>
        <v/>
      </c>
      <c r="M273" s="3"/>
      <c r="N273" s="3"/>
      <c r="O273" s="23"/>
    </row>
    <row r="274" spans="1:15" x14ac:dyDescent="0.15">
      <c r="A274" s="3"/>
      <c r="B274" s="4"/>
      <c r="C274" s="3"/>
      <c r="D274" s="5"/>
      <c r="E274" s="5"/>
      <c r="G274" s="4"/>
      <c r="H274" s="4"/>
      <c r="I274" s="4"/>
      <c r="J274" s="4"/>
      <c r="L274" s="16" t="str">
        <f t="shared" si="4"/>
        <v/>
      </c>
      <c r="M274" s="3"/>
      <c r="N274" s="3"/>
      <c r="O274" s="23"/>
    </row>
    <row r="275" spans="1:15" x14ac:dyDescent="0.15">
      <c r="A275" s="3"/>
      <c r="B275" s="4"/>
      <c r="C275" s="3"/>
      <c r="D275" s="5"/>
      <c r="E275" s="5"/>
      <c r="G275" s="4"/>
      <c r="H275" s="4"/>
      <c r="I275" s="4"/>
      <c r="J275" s="4"/>
      <c r="L275" s="16" t="str">
        <f t="shared" si="4"/>
        <v/>
      </c>
      <c r="M275" s="3"/>
      <c r="N275" s="3"/>
      <c r="O275" s="23"/>
    </row>
    <row r="276" spans="1:15" x14ac:dyDescent="0.15">
      <c r="A276" s="3"/>
      <c r="B276" s="4"/>
      <c r="C276" s="3"/>
      <c r="D276" s="5"/>
      <c r="E276" s="5"/>
      <c r="G276" s="4"/>
      <c r="H276" s="4"/>
      <c r="I276" s="4"/>
      <c r="J276" s="4"/>
      <c r="L276" s="16" t="str">
        <f t="shared" si="4"/>
        <v/>
      </c>
      <c r="M276" s="3"/>
      <c r="N276" s="3"/>
      <c r="O276" s="23"/>
    </row>
    <row r="277" spans="1:15" x14ac:dyDescent="0.15">
      <c r="A277" s="3"/>
      <c r="B277" s="4"/>
      <c r="C277" s="3"/>
      <c r="D277" s="5"/>
      <c r="E277" s="5"/>
      <c r="G277" s="4"/>
      <c r="H277" s="4"/>
      <c r="I277" s="4"/>
      <c r="J277" s="4"/>
      <c r="L277" s="16" t="str">
        <f t="shared" si="4"/>
        <v/>
      </c>
      <c r="M277" s="3"/>
      <c r="N277" s="3"/>
      <c r="O277" s="23"/>
    </row>
    <row r="278" spans="1:15" x14ac:dyDescent="0.15">
      <c r="A278" s="3"/>
      <c r="B278" s="4"/>
      <c r="C278" s="3"/>
      <c r="D278" s="5"/>
      <c r="E278" s="5"/>
      <c r="G278" s="4"/>
      <c r="H278" s="4"/>
      <c r="I278" s="4"/>
      <c r="J278" s="4"/>
      <c r="L278" s="16" t="str">
        <f t="shared" si="4"/>
        <v/>
      </c>
      <c r="M278" s="3"/>
      <c r="N278" s="3"/>
      <c r="O278" s="23"/>
    </row>
    <row r="279" spans="1:15" x14ac:dyDescent="0.15">
      <c r="A279" s="3"/>
      <c r="B279" s="4"/>
      <c r="C279" s="3"/>
      <c r="D279" s="5"/>
      <c r="E279" s="5"/>
      <c r="G279" s="4"/>
      <c r="H279" s="4"/>
      <c r="I279" s="4"/>
      <c r="J279" s="4"/>
      <c r="L279" s="16" t="str">
        <f t="shared" si="4"/>
        <v/>
      </c>
      <c r="M279" s="3"/>
      <c r="N279" s="3"/>
      <c r="O279" s="23"/>
    </row>
    <row r="280" spans="1:15" x14ac:dyDescent="0.15">
      <c r="A280" s="3"/>
      <c r="B280" s="4"/>
      <c r="C280" s="3"/>
      <c r="D280" s="5"/>
      <c r="E280" s="5"/>
      <c r="G280" s="4"/>
      <c r="H280" s="4"/>
      <c r="I280" s="4"/>
      <c r="J280" s="4"/>
      <c r="L280" s="16" t="str">
        <f t="shared" si="4"/>
        <v/>
      </c>
      <c r="M280" s="3"/>
      <c r="N280" s="3"/>
      <c r="O280" s="23"/>
    </row>
    <row r="281" spans="1:15" x14ac:dyDescent="0.15">
      <c r="A281" s="3"/>
      <c r="B281" s="4"/>
      <c r="C281" s="3"/>
      <c r="D281" s="5"/>
      <c r="E281" s="5"/>
      <c r="G281" s="4"/>
      <c r="H281" s="4"/>
      <c r="I281" s="4"/>
      <c r="J281" s="4"/>
      <c r="L281" s="16" t="str">
        <f t="shared" si="4"/>
        <v/>
      </c>
      <c r="M281" s="3"/>
      <c r="N281" s="3"/>
      <c r="O281" s="23"/>
    </row>
    <row r="282" spans="1:15" x14ac:dyDescent="0.15">
      <c r="A282" s="3"/>
      <c r="B282" s="4"/>
      <c r="C282" s="3"/>
      <c r="D282" s="5"/>
      <c r="E282" s="5"/>
      <c r="G282" s="4"/>
      <c r="H282" s="4"/>
      <c r="I282" s="4"/>
      <c r="J282" s="4"/>
      <c r="L282" s="16" t="str">
        <f t="shared" si="4"/>
        <v/>
      </c>
      <c r="M282" s="3"/>
      <c r="N282" s="3"/>
      <c r="O282" s="23"/>
    </row>
    <row r="283" spans="1:15" x14ac:dyDescent="0.15">
      <c r="A283" s="3"/>
      <c r="B283" s="4"/>
      <c r="C283" s="3"/>
      <c r="D283" s="5"/>
      <c r="E283" s="5"/>
      <c r="G283" s="4"/>
      <c r="H283" s="4"/>
      <c r="I283" s="4"/>
      <c r="J283" s="4"/>
      <c r="L283" s="16" t="str">
        <f t="shared" si="4"/>
        <v/>
      </c>
      <c r="M283" s="3"/>
      <c r="N283" s="3"/>
      <c r="O283" s="23"/>
    </row>
    <row r="284" spans="1:15" x14ac:dyDescent="0.15">
      <c r="A284" s="3"/>
      <c r="B284" s="4"/>
      <c r="C284" s="3"/>
      <c r="D284" s="5"/>
      <c r="E284" s="5"/>
      <c r="G284" s="4"/>
      <c r="H284" s="4"/>
      <c r="I284" s="4"/>
      <c r="J284" s="4"/>
      <c r="L284" s="16" t="str">
        <f t="shared" si="4"/>
        <v/>
      </c>
      <c r="M284" s="3"/>
      <c r="N284" s="3"/>
      <c r="O284" s="23"/>
    </row>
    <row r="285" spans="1:15" x14ac:dyDescent="0.15">
      <c r="A285" s="3"/>
      <c r="B285" s="4"/>
      <c r="C285" s="3"/>
      <c r="D285" s="5"/>
      <c r="E285" s="5"/>
      <c r="G285" s="4"/>
      <c r="H285" s="4"/>
      <c r="I285" s="4"/>
      <c r="J285" s="4"/>
      <c r="L285" s="16" t="str">
        <f t="shared" si="4"/>
        <v/>
      </c>
      <c r="M285" s="3"/>
      <c r="N285" s="3"/>
      <c r="O285" s="23"/>
    </row>
    <row r="286" spans="1:15" x14ac:dyDescent="0.15">
      <c r="A286" s="3"/>
      <c r="B286" s="4"/>
      <c r="C286" s="3"/>
      <c r="D286" s="5"/>
      <c r="E286" s="5"/>
      <c r="G286" s="4"/>
      <c r="H286" s="4"/>
      <c r="I286" s="4"/>
      <c r="J286" s="4"/>
      <c r="L286" s="16" t="str">
        <f t="shared" si="4"/>
        <v/>
      </c>
      <c r="M286" s="3"/>
      <c r="N286" s="3"/>
      <c r="O286" s="23"/>
    </row>
    <row r="287" spans="1:15" x14ac:dyDescent="0.15">
      <c r="A287" s="3"/>
      <c r="B287" s="4"/>
      <c r="C287" s="3"/>
      <c r="D287" s="5"/>
      <c r="E287" s="5"/>
      <c r="G287" s="4"/>
      <c r="H287" s="4"/>
      <c r="I287" s="4"/>
      <c r="J287" s="4"/>
      <c r="L287" s="16" t="str">
        <f t="shared" si="4"/>
        <v/>
      </c>
      <c r="M287" s="3"/>
      <c r="N287" s="3"/>
      <c r="O287" s="23"/>
    </row>
    <row r="288" spans="1:15" x14ac:dyDescent="0.15">
      <c r="A288" s="3"/>
      <c r="B288" s="4"/>
      <c r="C288" s="3"/>
      <c r="D288" s="5"/>
      <c r="E288" s="5"/>
      <c r="G288" s="4"/>
      <c r="H288" s="4"/>
      <c r="I288" s="4"/>
      <c r="J288" s="4"/>
      <c r="L288" s="16" t="str">
        <f t="shared" si="4"/>
        <v/>
      </c>
      <c r="M288" s="3"/>
      <c r="N288" s="3"/>
      <c r="O288" s="23"/>
    </row>
    <row r="289" spans="1:15" x14ac:dyDescent="0.15">
      <c r="A289" s="3"/>
      <c r="B289" s="4"/>
      <c r="C289" s="3"/>
      <c r="D289" s="5"/>
      <c r="E289" s="5"/>
      <c r="G289" s="4"/>
      <c r="H289" s="4"/>
      <c r="I289" s="4"/>
      <c r="J289" s="4"/>
      <c r="L289" s="16" t="str">
        <f t="shared" si="4"/>
        <v/>
      </c>
      <c r="M289" s="3"/>
      <c r="N289" s="3"/>
      <c r="O289" s="23"/>
    </row>
    <row r="290" spans="1:15" x14ac:dyDescent="0.15">
      <c r="A290" s="3"/>
      <c r="B290" s="4"/>
      <c r="C290" s="3"/>
      <c r="D290" s="5"/>
      <c r="E290" s="5"/>
      <c r="G290" s="4"/>
      <c r="H290" s="4"/>
      <c r="I290" s="4"/>
      <c r="J290" s="4"/>
      <c r="L290" s="16" t="str">
        <f t="shared" si="4"/>
        <v/>
      </c>
      <c r="M290" s="3"/>
      <c r="N290" s="3"/>
      <c r="O290" s="23"/>
    </row>
    <row r="291" spans="1:15" x14ac:dyDescent="0.15">
      <c r="A291" s="3"/>
      <c r="B291" s="4"/>
      <c r="C291" s="3"/>
      <c r="D291" s="5"/>
      <c r="E291" s="5"/>
      <c r="G291" s="4"/>
      <c r="H291" s="4"/>
      <c r="I291" s="4"/>
      <c r="J291" s="4"/>
      <c r="L291" s="16" t="str">
        <f t="shared" si="4"/>
        <v/>
      </c>
      <c r="M291" s="3"/>
      <c r="N291" s="3"/>
      <c r="O291" s="23"/>
    </row>
    <row r="292" spans="1:15" x14ac:dyDescent="0.15">
      <c r="A292" s="3"/>
      <c r="B292" s="4"/>
      <c r="C292" s="3"/>
      <c r="D292" s="5"/>
      <c r="E292" s="5"/>
      <c r="G292" s="4"/>
      <c r="H292" s="4"/>
      <c r="I292" s="4"/>
      <c r="J292" s="4"/>
      <c r="L292" s="16" t="str">
        <f t="shared" si="4"/>
        <v/>
      </c>
      <c r="M292" s="3"/>
      <c r="N292" s="3"/>
      <c r="O292" s="23"/>
    </row>
    <row r="293" spans="1:15" x14ac:dyDescent="0.15">
      <c r="A293" s="3"/>
      <c r="B293" s="4"/>
      <c r="C293" s="3"/>
      <c r="D293" s="5"/>
      <c r="E293" s="5"/>
      <c r="G293" s="4"/>
      <c r="H293" s="4"/>
      <c r="I293" s="4"/>
      <c r="J293" s="4"/>
      <c r="L293" s="16" t="str">
        <f t="shared" si="4"/>
        <v/>
      </c>
      <c r="M293" s="3"/>
      <c r="N293" s="3"/>
      <c r="O293" s="23"/>
    </row>
    <row r="294" spans="1:15" x14ac:dyDescent="0.15">
      <c r="A294" s="3"/>
      <c r="B294" s="4"/>
      <c r="C294" s="3"/>
      <c r="D294" s="5"/>
      <c r="E294" s="5"/>
      <c r="G294" s="4"/>
      <c r="H294" s="4"/>
      <c r="I294" s="4"/>
      <c r="J294" s="4"/>
      <c r="L294" s="16" t="str">
        <f t="shared" si="4"/>
        <v/>
      </c>
      <c r="M294" s="3"/>
      <c r="N294" s="3"/>
      <c r="O294" s="23"/>
    </row>
    <row r="295" spans="1:15" x14ac:dyDescent="0.15">
      <c r="A295" s="3"/>
      <c r="B295" s="4"/>
      <c r="C295" s="3"/>
      <c r="D295" s="5"/>
      <c r="E295" s="5"/>
      <c r="G295" s="4"/>
      <c r="H295" s="4"/>
      <c r="I295" s="4"/>
      <c r="J295" s="4"/>
      <c r="L295" s="16" t="str">
        <f t="shared" si="4"/>
        <v/>
      </c>
      <c r="M295" s="3"/>
      <c r="N295" s="3"/>
      <c r="O295" s="23"/>
    </row>
    <row r="296" spans="1:15" x14ac:dyDescent="0.15">
      <c r="A296" s="3"/>
      <c r="B296" s="4"/>
      <c r="C296" s="3"/>
      <c r="D296" s="5"/>
      <c r="E296" s="5"/>
      <c r="G296" s="4"/>
      <c r="H296" s="4"/>
      <c r="I296" s="4"/>
      <c r="J296" s="4"/>
      <c r="L296" s="16" t="str">
        <f t="shared" si="4"/>
        <v/>
      </c>
      <c r="M296" s="3"/>
      <c r="N296" s="3"/>
      <c r="O296" s="23"/>
    </row>
    <row r="297" spans="1:15" x14ac:dyDescent="0.15">
      <c r="A297" s="3"/>
      <c r="B297" s="4"/>
      <c r="C297" s="3"/>
      <c r="D297" s="5"/>
      <c r="E297" s="5"/>
      <c r="G297" s="4"/>
      <c r="H297" s="4"/>
      <c r="I297" s="4"/>
      <c r="J297" s="4"/>
      <c r="L297" s="16" t="str">
        <f t="shared" si="4"/>
        <v/>
      </c>
      <c r="M297" s="3"/>
      <c r="N297" s="3"/>
      <c r="O297" s="23"/>
    </row>
    <row r="298" spans="1:15" x14ac:dyDescent="0.15">
      <c r="A298" s="3"/>
      <c r="B298" s="4"/>
      <c r="C298" s="3"/>
      <c r="D298" s="5"/>
      <c r="E298" s="5"/>
      <c r="G298" s="4"/>
      <c r="H298" s="4"/>
      <c r="I298" s="4"/>
      <c r="J298" s="4"/>
      <c r="L298" s="16" t="str">
        <f t="shared" si="4"/>
        <v/>
      </c>
      <c r="M298" s="3"/>
      <c r="N298" s="3"/>
      <c r="O298" s="23"/>
    </row>
    <row r="299" spans="1:15" x14ac:dyDescent="0.15">
      <c r="A299" s="3"/>
      <c r="B299" s="4"/>
      <c r="C299" s="3"/>
      <c r="D299" s="5"/>
      <c r="E299" s="5"/>
      <c r="G299" s="4"/>
      <c r="H299" s="4"/>
      <c r="I299" s="4"/>
      <c r="J299" s="4"/>
      <c r="L299" s="16" t="str">
        <f t="shared" si="4"/>
        <v/>
      </c>
      <c r="M299" s="3"/>
      <c r="N299" s="3"/>
      <c r="O299" s="23"/>
    </row>
    <row r="300" spans="1:15" x14ac:dyDescent="0.15">
      <c r="A300" s="3"/>
      <c r="B300" s="4"/>
      <c r="C300" s="3"/>
      <c r="D300" s="5"/>
      <c r="E300" s="5"/>
      <c r="G300" s="4"/>
      <c r="H300" s="4"/>
      <c r="I300" s="4"/>
      <c r="J300" s="4"/>
      <c r="L300" s="16" t="str">
        <f t="shared" si="4"/>
        <v/>
      </c>
      <c r="M300" s="3"/>
      <c r="N300" s="3"/>
      <c r="O300" s="23"/>
    </row>
    <row r="301" spans="1:15" x14ac:dyDescent="0.15">
      <c r="A301" s="3"/>
      <c r="B301" s="4"/>
      <c r="C301" s="3"/>
      <c r="D301" s="5"/>
      <c r="E301" s="5"/>
      <c r="G301" s="4"/>
      <c r="H301" s="4"/>
      <c r="I301" s="4"/>
      <c r="J301" s="4"/>
      <c r="L301" s="16" t="str">
        <f t="shared" si="4"/>
        <v/>
      </c>
      <c r="M301" s="3"/>
      <c r="N301" s="3"/>
      <c r="O301" s="23"/>
    </row>
    <row r="302" spans="1:15" x14ac:dyDescent="0.15">
      <c r="A302" s="3"/>
      <c r="B302" s="4"/>
      <c r="C302" s="3"/>
      <c r="D302" s="5"/>
      <c r="E302" s="5"/>
      <c r="G302" s="4"/>
      <c r="H302" s="4"/>
      <c r="I302" s="4"/>
      <c r="J302" s="4"/>
      <c r="L302" s="16" t="str">
        <f t="shared" si="4"/>
        <v/>
      </c>
      <c r="M302" s="3"/>
      <c r="N302" s="3"/>
      <c r="O302" s="23"/>
    </row>
    <row r="303" spans="1:15" x14ac:dyDescent="0.15">
      <c r="A303" s="3"/>
      <c r="B303" s="4"/>
      <c r="C303" s="3"/>
      <c r="D303" s="5"/>
      <c r="E303" s="5"/>
      <c r="G303" s="4"/>
      <c r="H303" s="4"/>
      <c r="I303" s="4"/>
      <c r="J303" s="4"/>
      <c r="L303" s="16" t="str">
        <f t="shared" si="4"/>
        <v/>
      </c>
      <c r="M303" s="3"/>
      <c r="N303" s="3"/>
      <c r="O303" s="23"/>
    </row>
    <row r="304" spans="1:15" x14ac:dyDescent="0.15">
      <c r="A304" s="3"/>
      <c r="B304" s="4"/>
      <c r="C304" s="3"/>
      <c r="D304" s="5"/>
      <c r="E304" s="5"/>
      <c r="G304" s="4"/>
      <c r="H304" s="4"/>
      <c r="I304" s="4"/>
      <c r="J304" s="4"/>
      <c r="L304" s="16" t="str">
        <f t="shared" si="4"/>
        <v/>
      </c>
      <c r="M304" s="3"/>
      <c r="N304" s="3"/>
      <c r="O304" s="23"/>
    </row>
    <row r="305" spans="1:15" x14ac:dyDescent="0.15">
      <c r="A305" s="3"/>
      <c r="B305" s="4"/>
      <c r="C305" s="3"/>
      <c r="D305" s="5"/>
      <c r="E305" s="5"/>
      <c r="G305" s="4"/>
      <c r="H305" s="4"/>
      <c r="I305" s="4"/>
      <c r="J305" s="4"/>
      <c r="L305" s="16" t="str">
        <f t="shared" si="4"/>
        <v/>
      </c>
      <c r="M305" s="3"/>
      <c r="N305" s="3"/>
      <c r="O305" s="23"/>
    </row>
    <row r="306" spans="1:15" x14ac:dyDescent="0.15">
      <c r="A306" s="3"/>
      <c r="B306" s="4"/>
      <c r="C306" s="3"/>
      <c r="D306" s="5"/>
      <c r="E306" s="5"/>
      <c r="G306" s="4"/>
      <c r="H306" s="4"/>
      <c r="I306" s="4"/>
      <c r="J306" s="4"/>
      <c r="L306" s="16" t="str">
        <f t="shared" ref="L306:L369" si="5">IF(AND(J306="",E306="請求書"),D306,"")</f>
        <v/>
      </c>
      <c r="M306" s="3"/>
      <c r="N306" s="3"/>
      <c r="O306" s="23"/>
    </row>
    <row r="307" spans="1:15" x14ac:dyDescent="0.15">
      <c r="A307" s="3"/>
      <c r="B307" s="4"/>
      <c r="C307" s="3"/>
      <c r="D307" s="5"/>
      <c r="E307" s="5"/>
      <c r="G307" s="4"/>
      <c r="H307" s="4"/>
      <c r="I307" s="4"/>
      <c r="J307" s="4"/>
      <c r="L307" s="16" t="str">
        <f t="shared" si="5"/>
        <v/>
      </c>
      <c r="M307" s="3"/>
      <c r="N307" s="3"/>
      <c r="O307" s="23"/>
    </row>
    <row r="308" spans="1:15" x14ac:dyDescent="0.15">
      <c r="A308" s="3"/>
      <c r="B308" s="4"/>
      <c r="C308" s="3"/>
      <c r="D308" s="5"/>
      <c r="E308" s="5"/>
      <c r="G308" s="4"/>
      <c r="H308" s="4"/>
      <c r="I308" s="4"/>
      <c r="J308" s="4"/>
      <c r="L308" s="16" t="str">
        <f t="shared" si="5"/>
        <v/>
      </c>
      <c r="M308" s="3"/>
      <c r="N308" s="3"/>
      <c r="O308" s="23"/>
    </row>
    <row r="309" spans="1:15" x14ac:dyDescent="0.15">
      <c r="A309" s="3"/>
      <c r="B309" s="4"/>
      <c r="C309" s="3"/>
      <c r="D309" s="5"/>
      <c r="E309" s="5"/>
      <c r="G309" s="4"/>
      <c r="H309" s="4"/>
      <c r="I309" s="4"/>
      <c r="J309" s="4"/>
      <c r="L309" s="16" t="str">
        <f t="shared" si="5"/>
        <v/>
      </c>
      <c r="M309" s="3"/>
      <c r="N309" s="3"/>
      <c r="O309" s="23"/>
    </row>
    <row r="310" spans="1:15" x14ac:dyDescent="0.15">
      <c r="A310" s="3"/>
      <c r="B310" s="4"/>
      <c r="C310" s="3"/>
      <c r="D310" s="5"/>
      <c r="E310" s="5"/>
      <c r="G310" s="4"/>
      <c r="H310" s="4"/>
      <c r="I310" s="4"/>
      <c r="J310" s="4"/>
      <c r="L310" s="16" t="str">
        <f t="shared" si="5"/>
        <v/>
      </c>
      <c r="M310" s="3"/>
      <c r="N310" s="3"/>
      <c r="O310" s="23"/>
    </row>
    <row r="311" spans="1:15" x14ac:dyDescent="0.15">
      <c r="A311" s="3"/>
      <c r="B311" s="4"/>
      <c r="C311" s="3"/>
      <c r="D311" s="5"/>
      <c r="E311" s="5"/>
      <c r="G311" s="4"/>
      <c r="H311" s="4"/>
      <c r="I311" s="4"/>
      <c r="J311" s="4"/>
      <c r="L311" s="16" t="str">
        <f t="shared" si="5"/>
        <v/>
      </c>
      <c r="M311" s="3"/>
      <c r="N311" s="3"/>
      <c r="O311" s="23"/>
    </row>
    <row r="312" spans="1:15" x14ac:dyDescent="0.15">
      <c r="A312" s="3"/>
      <c r="B312" s="4"/>
      <c r="C312" s="3"/>
      <c r="D312" s="5"/>
      <c r="E312" s="5"/>
      <c r="G312" s="4"/>
      <c r="H312" s="4"/>
      <c r="I312" s="4"/>
      <c r="J312" s="4"/>
      <c r="L312" s="16" t="str">
        <f t="shared" si="5"/>
        <v/>
      </c>
      <c r="M312" s="3"/>
      <c r="N312" s="3"/>
      <c r="O312" s="23"/>
    </row>
    <row r="313" spans="1:15" x14ac:dyDescent="0.15">
      <c r="A313" s="3"/>
      <c r="B313" s="4"/>
      <c r="C313" s="3"/>
      <c r="D313" s="5"/>
      <c r="E313" s="5"/>
      <c r="G313" s="4"/>
      <c r="H313" s="4"/>
      <c r="I313" s="4"/>
      <c r="J313" s="4"/>
      <c r="L313" s="16" t="str">
        <f t="shared" si="5"/>
        <v/>
      </c>
      <c r="M313" s="3"/>
      <c r="N313" s="3"/>
      <c r="O313" s="23"/>
    </row>
    <row r="314" spans="1:15" x14ac:dyDescent="0.15">
      <c r="A314" s="3"/>
      <c r="B314" s="4"/>
      <c r="C314" s="3"/>
      <c r="D314" s="5"/>
      <c r="E314" s="5"/>
      <c r="G314" s="4"/>
      <c r="H314" s="4"/>
      <c r="I314" s="4"/>
      <c r="J314" s="4"/>
      <c r="L314" s="16" t="str">
        <f t="shared" si="5"/>
        <v/>
      </c>
      <c r="M314" s="3"/>
      <c r="N314" s="3"/>
      <c r="O314" s="23"/>
    </row>
    <row r="315" spans="1:15" x14ac:dyDescent="0.15">
      <c r="A315" s="3"/>
      <c r="B315" s="4"/>
      <c r="C315" s="3"/>
      <c r="D315" s="5"/>
      <c r="E315" s="5"/>
      <c r="G315" s="4"/>
      <c r="H315" s="4"/>
      <c r="I315" s="4"/>
      <c r="J315" s="4"/>
      <c r="L315" s="16" t="str">
        <f t="shared" si="5"/>
        <v/>
      </c>
      <c r="M315" s="3"/>
      <c r="N315" s="3"/>
      <c r="O315" s="23"/>
    </row>
    <row r="316" spans="1:15" x14ac:dyDescent="0.15">
      <c r="A316" s="3"/>
      <c r="B316" s="4"/>
      <c r="C316" s="3"/>
      <c r="D316" s="5"/>
      <c r="E316" s="5"/>
      <c r="G316" s="4"/>
      <c r="H316" s="4"/>
      <c r="I316" s="4"/>
      <c r="J316" s="4"/>
      <c r="L316" s="16" t="str">
        <f t="shared" si="5"/>
        <v/>
      </c>
      <c r="M316" s="3"/>
      <c r="N316" s="3"/>
      <c r="O316" s="23"/>
    </row>
    <row r="317" spans="1:15" x14ac:dyDescent="0.15">
      <c r="A317" s="3"/>
      <c r="B317" s="4"/>
      <c r="C317" s="3"/>
      <c r="D317" s="5"/>
      <c r="E317" s="5"/>
      <c r="G317" s="4"/>
      <c r="H317" s="4"/>
      <c r="I317" s="4"/>
      <c r="J317" s="4"/>
      <c r="L317" s="16" t="str">
        <f t="shared" si="5"/>
        <v/>
      </c>
      <c r="M317" s="3"/>
      <c r="N317" s="3"/>
      <c r="O317" s="23"/>
    </row>
    <row r="318" spans="1:15" x14ac:dyDescent="0.15">
      <c r="A318" s="3"/>
      <c r="B318" s="4"/>
      <c r="C318" s="3"/>
      <c r="D318" s="5"/>
      <c r="E318" s="5"/>
      <c r="G318" s="4"/>
      <c r="H318" s="4"/>
      <c r="I318" s="4"/>
      <c r="J318" s="4"/>
      <c r="L318" s="16" t="str">
        <f t="shared" si="5"/>
        <v/>
      </c>
      <c r="M318" s="3"/>
      <c r="N318" s="3"/>
      <c r="O318" s="23"/>
    </row>
    <row r="319" spans="1:15" x14ac:dyDescent="0.15">
      <c r="A319" s="3"/>
      <c r="B319" s="4"/>
      <c r="C319" s="3"/>
      <c r="D319" s="5"/>
      <c r="E319" s="5"/>
      <c r="G319" s="4"/>
      <c r="H319" s="4"/>
      <c r="I319" s="4"/>
      <c r="J319" s="4"/>
      <c r="L319" s="16" t="str">
        <f t="shared" si="5"/>
        <v/>
      </c>
      <c r="M319" s="3"/>
      <c r="N319" s="3"/>
      <c r="O319" s="23"/>
    </row>
    <row r="320" spans="1:15" x14ac:dyDescent="0.15">
      <c r="A320" s="3"/>
      <c r="B320" s="4"/>
      <c r="C320" s="3"/>
      <c r="D320" s="5"/>
      <c r="E320" s="5"/>
      <c r="G320" s="4"/>
      <c r="H320" s="4"/>
      <c r="I320" s="4"/>
      <c r="J320" s="4"/>
      <c r="L320" s="16" t="str">
        <f t="shared" si="5"/>
        <v/>
      </c>
      <c r="M320" s="3"/>
      <c r="N320" s="3"/>
      <c r="O320" s="23"/>
    </row>
    <row r="321" spans="1:15" x14ac:dyDescent="0.15">
      <c r="A321" s="3"/>
      <c r="B321" s="4"/>
      <c r="C321" s="3"/>
      <c r="D321" s="5"/>
      <c r="E321" s="5"/>
      <c r="G321" s="4"/>
      <c r="H321" s="4"/>
      <c r="I321" s="4"/>
      <c r="J321" s="4"/>
      <c r="L321" s="16" t="str">
        <f t="shared" si="5"/>
        <v/>
      </c>
      <c r="M321" s="3"/>
      <c r="N321" s="3"/>
      <c r="O321" s="23"/>
    </row>
    <row r="322" spans="1:15" x14ac:dyDescent="0.15">
      <c r="A322" s="3"/>
      <c r="B322" s="4"/>
      <c r="C322" s="3"/>
      <c r="D322" s="5"/>
      <c r="E322" s="5"/>
      <c r="G322" s="4"/>
      <c r="H322" s="4"/>
      <c r="I322" s="4"/>
      <c r="J322" s="4"/>
      <c r="L322" s="16" t="str">
        <f t="shared" si="5"/>
        <v/>
      </c>
      <c r="M322" s="3"/>
      <c r="N322" s="3"/>
      <c r="O322" s="23"/>
    </row>
    <row r="323" spans="1:15" x14ac:dyDescent="0.15">
      <c r="A323" s="3"/>
      <c r="B323" s="4"/>
      <c r="C323" s="3"/>
      <c r="D323" s="5"/>
      <c r="E323" s="5"/>
      <c r="G323" s="4"/>
      <c r="H323" s="4"/>
      <c r="I323" s="4"/>
      <c r="J323" s="4"/>
      <c r="L323" s="16" t="str">
        <f t="shared" si="5"/>
        <v/>
      </c>
      <c r="M323" s="3"/>
      <c r="N323" s="3"/>
      <c r="O323" s="23"/>
    </row>
    <row r="324" spans="1:15" x14ac:dyDescent="0.15">
      <c r="A324" s="3"/>
      <c r="B324" s="4"/>
      <c r="C324" s="3"/>
      <c r="D324" s="5"/>
      <c r="E324" s="5"/>
      <c r="G324" s="4"/>
      <c r="H324" s="4"/>
      <c r="I324" s="4"/>
      <c r="J324" s="4"/>
      <c r="L324" s="16" t="str">
        <f t="shared" si="5"/>
        <v/>
      </c>
      <c r="M324" s="3"/>
      <c r="N324" s="3"/>
      <c r="O324" s="23"/>
    </row>
    <row r="325" spans="1:15" x14ac:dyDescent="0.15">
      <c r="A325" s="3"/>
      <c r="B325" s="4"/>
      <c r="C325" s="3"/>
      <c r="D325" s="5"/>
      <c r="E325" s="5"/>
      <c r="G325" s="4"/>
      <c r="H325" s="4"/>
      <c r="I325" s="4"/>
      <c r="J325" s="4"/>
      <c r="L325" s="16" t="str">
        <f t="shared" si="5"/>
        <v/>
      </c>
      <c r="M325" s="3"/>
      <c r="N325" s="3"/>
      <c r="O325" s="23"/>
    </row>
    <row r="326" spans="1:15" x14ac:dyDescent="0.15">
      <c r="A326" s="3"/>
      <c r="B326" s="4"/>
      <c r="C326" s="3"/>
      <c r="D326" s="5"/>
      <c r="E326" s="5"/>
      <c r="G326" s="4"/>
      <c r="H326" s="4"/>
      <c r="I326" s="4"/>
      <c r="J326" s="4"/>
      <c r="L326" s="16" t="str">
        <f t="shared" si="5"/>
        <v/>
      </c>
      <c r="M326" s="3"/>
      <c r="N326" s="3"/>
      <c r="O326" s="23"/>
    </row>
    <row r="327" spans="1:15" x14ac:dyDescent="0.15">
      <c r="A327" s="3"/>
      <c r="B327" s="4"/>
      <c r="C327" s="3"/>
      <c r="D327" s="5"/>
      <c r="E327" s="5"/>
      <c r="G327" s="4"/>
      <c r="H327" s="4"/>
      <c r="I327" s="4"/>
      <c r="J327" s="4"/>
      <c r="L327" s="16" t="str">
        <f t="shared" si="5"/>
        <v/>
      </c>
      <c r="M327" s="3"/>
      <c r="N327" s="3"/>
      <c r="O327" s="23"/>
    </row>
    <row r="328" spans="1:15" x14ac:dyDescent="0.15">
      <c r="A328" s="3"/>
      <c r="B328" s="4"/>
      <c r="C328" s="3"/>
      <c r="D328" s="5"/>
      <c r="E328" s="5"/>
      <c r="G328" s="4"/>
      <c r="H328" s="4"/>
      <c r="I328" s="4"/>
      <c r="J328" s="4"/>
      <c r="L328" s="16" t="str">
        <f t="shared" si="5"/>
        <v/>
      </c>
      <c r="M328" s="3"/>
      <c r="N328" s="3"/>
      <c r="O328" s="23"/>
    </row>
    <row r="329" spans="1:15" x14ac:dyDescent="0.15">
      <c r="A329" s="3"/>
      <c r="B329" s="4"/>
      <c r="C329" s="3"/>
      <c r="D329" s="5"/>
      <c r="E329" s="5"/>
      <c r="G329" s="4"/>
      <c r="H329" s="4"/>
      <c r="I329" s="4"/>
      <c r="J329" s="4"/>
      <c r="L329" s="16" t="str">
        <f t="shared" si="5"/>
        <v/>
      </c>
      <c r="M329" s="3"/>
      <c r="N329" s="3"/>
      <c r="O329" s="23"/>
    </row>
    <row r="330" spans="1:15" x14ac:dyDescent="0.15">
      <c r="A330" s="3"/>
      <c r="B330" s="4"/>
      <c r="C330" s="3"/>
      <c r="D330" s="5"/>
      <c r="E330" s="5"/>
      <c r="G330" s="4"/>
      <c r="H330" s="4"/>
      <c r="I330" s="4"/>
      <c r="J330" s="4"/>
      <c r="L330" s="16" t="str">
        <f t="shared" si="5"/>
        <v/>
      </c>
      <c r="M330" s="3"/>
      <c r="N330" s="3"/>
      <c r="O330" s="23"/>
    </row>
    <row r="331" spans="1:15" x14ac:dyDescent="0.15">
      <c r="A331" s="3"/>
      <c r="B331" s="4"/>
      <c r="C331" s="3"/>
      <c r="D331" s="5"/>
      <c r="E331" s="5"/>
      <c r="G331" s="4"/>
      <c r="H331" s="4"/>
      <c r="I331" s="4"/>
      <c r="J331" s="4"/>
      <c r="L331" s="16" t="str">
        <f t="shared" si="5"/>
        <v/>
      </c>
      <c r="M331" s="3"/>
      <c r="N331" s="3"/>
      <c r="O331" s="23"/>
    </row>
    <row r="332" spans="1:15" x14ac:dyDescent="0.15">
      <c r="A332" s="3"/>
      <c r="B332" s="4"/>
      <c r="C332" s="3"/>
      <c r="D332" s="5"/>
      <c r="E332" s="5"/>
      <c r="G332" s="4"/>
      <c r="H332" s="4"/>
      <c r="I332" s="4"/>
      <c r="J332" s="4"/>
      <c r="L332" s="16" t="str">
        <f t="shared" si="5"/>
        <v/>
      </c>
      <c r="M332" s="3"/>
      <c r="N332" s="3"/>
      <c r="O332" s="23"/>
    </row>
    <row r="333" spans="1:15" x14ac:dyDescent="0.15">
      <c r="A333" s="3"/>
      <c r="B333" s="4"/>
      <c r="C333" s="3"/>
      <c r="D333" s="5"/>
      <c r="E333" s="5"/>
      <c r="G333" s="4"/>
      <c r="H333" s="4"/>
      <c r="I333" s="4"/>
      <c r="J333" s="4"/>
      <c r="L333" s="16" t="str">
        <f t="shared" si="5"/>
        <v/>
      </c>
      <c r="M333" s="3"/>
      <c r="N333" s="3"/>
      <c r="O333" s="23"/>
    </row>
    <row r="334" spans="1:15" x14ac:dyDescent="0.15">
      <c r="A334" s="3"/>
      <c r="B334" s="4"/>
      <c r="C334" s="3"/>
      <c r="D334" s="5"/>
      <c r="E334" s="5"/>
      <c r="G334" s="4"/>
      <c r="H334" s="4"/>
      <c r="I334" s="4"/>
      <c r="J334" s="4"/>
      <c r="L334" s="16" t="str">
        <f t="shared" si="5"/>
        <v/>
      </c>
      <c r="M334" s="3"/>
      <c r="N334" s="3"/>
      <c r="O334" s="23"/>
    </row>
    <row r="335" spans="1:15" x14ac:dyDescent="0.15">
      <c r="A335" s="3"/>
      <c r="B335" s="4"/>
      <c r="C335" s="3"/>
      <c r="D335" s="5"/>
      <c r="E335" s="5"/>
      <c r="G335" s="4"/>
      <c r="H335" s="4"/>
      <c r="I335" s="4"/>
      <c r="J335" s="4"/>
      <c r="L335" s="16" t="str">
        <f t="shared" si="5"/>
        <v/>
      </c>
      <c r="M335" s="3"/>
      <c r="N335" s="3"/>
      <c r="O335" s="23"/>
    </row>
    <row r="336" spans="1:15" x14ac:dyDescent="0.15">
      <c r="A336" s="3"/>
      <c r="B336" s="4"/>
      <c r="C336" s="3"/>
      <c r="D336" s="5"/>
      <c r="E336" s="5"/>
      <c r="G336" s="4"/>
      <c r="H336" s="4"/>
      <c r="I336" s="4"/>
      <c r="J336" s="4"/>
      <c r="L336" s="16" t="str">
        <f t="shared" si="5"/>
        <v/>
      </c>
      <c r="M336" s="3"/>
      <c r="N336" s="3"/>
      <c r="O336" s="23"/>
    </row>
    <row r="337" spans="1:15" x14ac:dyDescent="0.15">
      <c r="A337" s="3"/>
      <c r="B337" s="4"/>
      <c r="C337" s="3"/>
      <c r="D337" s="5"/>
      <c r="E337" s="5"/>
      <c r="G337" s="4"/>
      <c r="H337" s="4"/>
      <c r="I337" s="4"/>
      <c r="J337" s="4"/>
      <c r="L337" s="16" t="str">
        <f t="shared" si="5"/>
        <v/>
      </c>
      <c r="M337" s="3"/>
      <c r="N337" s="3"/>
      <c r="O337" s="23"/>
    </row>
    <row r="338" spans="1:15" x14ac:dyDescent="0.15">
      <c r="A338" s="3"/>
      <c r="B338" s="4"/>
      <c r="C338" s="3"/>
      <c r="D338" s="5"/>
      <c r="E338" s="5"/>
      <c r="G338" s="4"/>
      <c r="H338" s="4"/>
      <c r="I338" s="4"/>
      <c r="J338" s="4"/>
      <c r="L338" s="16" t="str">
        <f t="shared" si="5"/>
        <v/>
      </c>
      <c r="M338" s="3"/>
      <c r="N338" s="3"/>
      <c r="O338" s="23"/>
    </row>
    <row r="339" spans="1:15" x14ac:dyDescent="0.15">
      <c r="A339" s="3"/>
      <c r="B339" s="4"/>
      <c r="C339" s="3"/>
      <c r="D339" s="5"/>
      <c r="E339" s="5"/>
      <c r="G339" s="4"/>
      <c r="H339" s="4"/>
      <c r="I339" s="4"/>
      <c r="J339" s="4"/>
      <c r="L339" s="16" t="str">
        <f t="shared" si="5"/>
        <v/>
      </c>
      <c r="M339" s="3"/>
      <c r="N339" s="3"/>
      <c r="O339" s="23"/>
    </row>
    <row r="340" spans="1:15" x14ac:dyDescent="0.15">
      <c r="A340" s="3"/>
      <c r="B340" s="4"/>
      <c r="C340" s="3"/>
      <c r="D340" s="5"/>
      <c r="E340" s="5"/>
      <c r="G340" s="4"/>
      <c r="H340" s="4"/>
      <c r="I340" s="4"/>
      <c r="J340" s="4"/>
      <c r="L340" s="16" t="str">
        <f t="shared" si="5"/>
        <v/>
      </c>
      <c r="M340" s="3"/>
      <c r="N340" s="3"/>
      <c r="O340" s="23"/>
    </row>
    <row r="341" spans="1:15" x14ac:dyDescent="0.15">
      <c r="A341" s="3"/>
      <c r="B341" s="4"/>
      <c r="C341" s="3"/>
      <c r="D341" s="5"/>
      <c r="E341" s="5"/>
      <c r="G341" s="4"/>
      <c r="H341" s="4"/>
      <c r="I341" s="4"/>
      <c r="J341" s="4"/>
      <c r="L341" s="16" t="str">
        <f t="shared" si="5"/>
        <v/>
      </c>
      <c r="M341" s="3"/>
      <c r="N341" s="3"/>
      <c r="O341" s="23"/>
    </row>
    <row r="342" spans="1:15" x14ac:dyDescent="0.15">
      <c r="A342" s="3"/>
      <c r="B342" s="4"/>
      <c r="C342" s="3"/>
      <c r="D342" s="5"/>
      <c r="E342" s="5"/>
      <c r="G342" s="4"/>
      <c r="H342" s="4"/>
      <c r="I342" s="4"/>
      <c r="J342" s="4"/>
      <c r="L342" s="16" t="str">
        <f t="shared" si="5"/>
        <v/>
      </c>
      <c r="M342" s="3"/>
      <c r="N342" s="3"/>
      <c r="O342" s="23"/>
    </row>
    <row r="343" spans="1:15" x14ac:dyDescent="0.15">
      <c r="A343" s="3"/>
      <c r="B343" s="4"/>
      <c r="C343" s="3"/>
      <c r="D343" s="5"/>
      <c r="E343" s="5"/>
      <c r="G343" s="4"/>
      <c r="H343" s="4"/>
      <c r="I343" s="4"/>
      <c r="J343" s="4"/>
      <c r="L343" s="16" t="str">
        <f t="shared" si="5"/>
        <v/>
      </c>
      <c r="M343" s="3"/>
      <c r="N343" s="3"/>
      <c r="O343" s="23"/>
    </row>
    <row r="344" spans="1:15" x14ac:dyDescent="0.15">
      <c r="A344" s="3"/>
      <c r="B344" s="4"/>
      <c r="C344" s="3"/>
      <c r="D344" s="5"/>
      <c r="E344" s="5"/>
      <c r="G344" s="4"/>
      <c r="H344" s="4"/>
      <c r="I344" s="4"/>
      <c r="J344" s="4"/>
      <c r="L344" s="16" t="str">
        <f t="shared" si="5"/>
        <v/>
      </c>
      <c r="M344" s="3"/>
      <c r="N344" s="3"/>
      <c r="O344" s="23"/>
    </row>
    <row r="345" spans="1:15" x14ac:dyDescent="0.15">
      <c r="A345" s="3"/>
      <c r="B345" s="4"/>
      <c r="C345" s="3"/>
      <c r="D345" s="5"/>
      <c r="E345" s="5"/>
      <c r="G345" s="4"/>
      <c r="H345" s="4"/>
      <c r="I345" s="4"/>
      <c r="J345" s="4"/>
      <c r="L345" s="16" t="str">
        <f t="shared" si="5"/>
        <v/>
      </c>
      <c r="M345" s="3"/>
      <c r="N345" s="3"/>
      <c r="O345" s="23"/>
    </row>
    <row r="346" spans="1:15" x14ac:dyDescent="0.15">
      <c r="A346" s="3"/>
      <c r="B346" s="4"/>
      <c r="C346" s="3"/>
      <c r="D346" s="5"/>
      <c r="E346" s="5"/>
      <c r="G346" s="4"/>
      <c r="H346" s="4"/>
      <c r="I346" s="4"/>
      <c r="J346" s="4"/>
      <c r="L346" s="16" t="str">
        <f t="shared" si="5"/>
        <v/>
      </c>
      <c r="M346" s="3"/>
      <c r="N346" s="3"/>
      <c r="O346" s="23"/>
    </row>
    <row r="347" spans="1:15" x14ac:dyDescent="0.15">
      <c r="A347" s="3"/>
      <c r="B347" s="4"/>
      <c r="C347" s="3"/>
      <c r="D347" s="5"/>
      <c r="E347" s="5"/>
      <c r="G347" s="4"/>
      <c r="H347" s="4"/>
      <c r="I347" s="4"/>
      <c r="J347" s="4"/>
      <c r="L347" s="16" t="str">
        <f t="shared" si="5"/>
        <v/>
      </c>
      <c r="M347" s="3"/>
      <c r="N347" s="3"/>
      <c r="O347" s="23"/>
    </row>
    <row r="348" spans="1:15" x14ac:dyDescent="0.15">
      <c r="A348" s="3"/>
      <c r="B348" s="4"/>
      <c r="C348" s="3"/>
      <c r="D348" s="5"/>
      <c r="E348" s="5"/>
      <c r="G348" s="4"/>
      <c r="H348" s="4"/>
      <c r="I348" s="4"/>
      <c r="J348" s="4"/>
      <c r="L348" s="16" t="str">
        <f t="shared" si="5"/>
        <v/>
      </c>
      <c r="M348" s="3"/>
      <c r="N348" s="3"/>
      <c r="O348" s="23"/>
    </row>
    <row r="349" spans="1:15" x14ac:dyDescent="0.15">
      <c r="A349" s="3"/>
      <c r="B349" s="4"/>
      <c r="C349" s="3"/>
      <c r="D349" s="5"/>
      <c r="E349" s="5"/>
      <c r="G349" s="4"/>
      <c r="H349" s="4"/>
      <c r="I349" s="4"/>
      <c r="J349" s="4"/>
      <c r="L349" s="16" t="str">
        <f t="shared" si="5"/>
        <v/>
      </c>
      <c r="M349" s="3"/>
      <c r="N349" s="3"/>
      <c r="O349" s="23"/>
    </row>
    <row r="350" spans="1:15" x14ac:dyDescent="0.15">
      <c r="A350" s="3"/>
      <c r="B350" s="4"/>
      <c r="C350" s="3"/>
      <c r="D350" s="5"/>
      <c r="E350" s="5"/>
      <c r="G350" s="4"/>
      <c r="H350" s="4"/>
      <c r="I350" s="4"/>
      <c r="J350" s="4"/>
      <c r="L350" s="16" t="str">
        <f t="shared" si="5"/>
        <v/>
      </c>
      <c r="M350" s="3"/>
      <c r="N350" s="3"/>
      <c r="O350" s="23"/>
    </row>
    <row r="351" spans="1:15" x14ac:dyDescent="0.15">
      <c r="A351" s="3"/>
      <c r="B351" s="4"/>
      <c r="C351" s="3"/>
      <c r="D351" s="5"/>
      <c r="E351" s="5"/>
      <c r="G351" s="4"/>
      <c r="H351" s="4"/>
      <c r="I351" s="4"/>
      <c r="J351" s="4"/>
      <c r="L351" s="16" t="str">
        <f t="shared" si="5"/>
        <v/>
      </c>
      <c r="M351" s="3"/>
      <c r="N351" s="3"/>
      <c r="O351" s="23"/>
    </row>
    <row r="352" spans="1:15" x14ac:dyDescent="0.15">
      <c r="A352" s="3"/>
      <c r="B352" s="4"/>
      <c r="C352" s="3"/>
      <c r="D352" s="5"/>
      <c r="E352" s="5"/>
      <c r="G352" s="4"/>
      <c r="H352" s="4"/>
      <c r="I352" s="4"/>
      <c r="J352" s="4"/>
      <c r="L352" s="16" t="str">
        <f t="shared" si="5"/>
        <v/>
      </c>
      <c r="M352" s="3"/>
      <c r="N352" s="3"/>
      <c r="O352" s="23"/>
    </row>
    <row r="353" spans="1:15" x14ac:dyDescent="0.15">
      <c r="A353" s="3"/>
      <c r="B353" s="4"/>
      <c r="C353" s="3"/>
      <c r="D353" s="5"/>
      <c r="E353" s="5"/>
      <c r="G353" s="4"/>
      <c r="H353" s="4"/>
      <c r="I353" s="4"/>
      <c r="J353" s="4"/>
      <c r="L353" s="16" t="str">
        <f t="shared" si="5"/>
        <v/>
      </c>
      <c r="M353" s="3"/>
      <c r="N353" s="3"/>
      <c r="O353" s="23"/>
    </row>
    <row r="354" spans="1:15" x14ac:dyDescent="0.15">
      <c r="A354" s="3"/>
      <c r="B354" s="4"/>
      <c r="C354" s="3"/>
      <c r="D354" s="5"/>
      <c r="E354" s="5"/>
      <c r="G354" s="4"/>
      <c r="H354" s="4"/>
      <c r="I354" s="4"/>
      <c r="J354" s="4"/>
      <c r="L354" s="16" t="str">
        <f t="shared" si="5"/>
        <v/>
      </c>
      <c r="M354" s="3"/>
      <c r="N354" s="3"/>
      <c r="O354" s="23"/>
    </row>
    <row r="355" spans="1:15" x14ac:dyDescent="0.15">
      <c r="A355" s="3"/>
      <c r="B355" s="4"/>
      <c r="C355" s="3"/>
      <c r="D355" s="5"/>
      <c r="E355" s="5"/>
      <c r="G355" s="4"/>
      <c r="H355" s="4"/>
      <c r="I355" s="4"/>
      <c r="J355" s="4"/>
      <c r="L355" s="16" t="str">
        <f t="shared" si="5"/>
        <v/>
      </c>
      <c r="M355" s="3"/>
      <c r="N355" s="3"/>
      <c r="O355" s="23"/>
    </row>
    <row r="356" spans="1:15" x14ac:dyDescent="0.15">
      <c r="A356" s="3"/>
      <c r="B356" s="4"/>
      <c r="C356" s="3"/>
      <c r="D356" s="5"/>
      <c r="E356" s="5"/>
      <c r="G356" s="4"/>
      <c r="H356" s="4"/>
      <c r="I356" s="4"/>
      <c r="J356" s="4"/>
      <c r="L356" s="16" t="str">
        <f t="shared" si="5"/>
        <v/>
      </c>
      <c r="M356" s="3"/>
      <c r="N356" s="3"/>
      <c r="O356" s="23"/>
    </row>
    <row r="357" spans="1:15" x14ac:dyDescent="0.15">
      <c r="A357" s="3"/>
      <c r="B357" s="4"/>
      <c r="C357" s="3"/>
      <c r="D357" s="5"/>
      <c r="E357" s="5"/>
      <c r="G357" s="4"/>
      <c r="H357" s="4"/>
      <c r="I357" s="4"/>
      <c r="J357" s="4"/>
      <c r="L357" s="16" t="str">
        <f t="shared" si="5"/>
        <v/>
      </c>
      <c r="M357" s="3"/>
      <c r="N357" s="3"/>
      <c r="O357" s="23"/>
    </row>
    <row r="358" spans="1:15" x14ac:dyDescent="0.15">
      <c r="A358" s="3"/>
      <c r="B358" s="4"/>
      <c r="C358" s="3"/>
      <c r="D358" s="5"/>
      <c r="E358" s="5"/>
      <c r="G358" s="4"/>
      <c r="H358" s="4"/>
      <c r="I358" s="4"/>
      <c r="J358" s="4"/>
      <c r="L358" s="16" t="str">
        <f t="shared" si="5"/>
        <v/>
      </c>
      <c r="M358" s="3"/>
      <c r="N358" s="3"/>
      <c r="O358" s="23"/>
    </row>
    <row r="359" spans="1:15" x14ac:dyDescent="0.15">
      <c r="A359" s="3"/>
      <c r="B359" s="4"/>
      <c r="C359" s="3"/>
      <c r="D359" s="5"/>
      <c r="E359" s="5"/>
      <c r="G359" s="4"/>
      <c r="H359" s="4"/>
      <c r="I359" s="4"/>
      <c r="J359" s="4"/>
      <c r="L359" s="16" t="str">
        <f t="shared" si="5"/>
        <v/>
      </c>
      <c r="M359" s="3"/>
      <c r="N359" s="3"/>
      <c r="O359" s="23"/>
    </row>
    <row r="360" spans="1:15" x14ac:dyDescent="0.15">
      <c r="A360" s="3"/>
      <c r="B360" s="4"/>
      <c r="C360" s="3"/>
      <c r="D360" s="5"/>
      <c r="E360" s="5"/>
      <c r="G360" s="4"/>
      <c r="H360" s="4"/>
      <c r="I360" s="4"/>
      <c r="J360" s="4"/>
      <c r="L360" s="16" t="str">
        <f t="shared" si="5"/>
        <v/>
      </c>
      <c r="M360" s="3"/>
      <c r="N360" s="3"/>
      <c r="O360" s="23"/>
    </row>
    <row r="361" spans="1:15" x14ac:dyDescent="0.15">
      <c r="A361" s="3"/>
      <c r="B361" s="4"/>
      <c r="C361" s="3"/>
      <c r="D361" s="5"/>
      <c r="E361" s="5"/>
      <c r="G361" s="4"/>
      <c r="H361" s="4"/>
      <c r="I361" s="4"/>
      <c r="J361" s="4"/>
      <c r="L361" s="16" t="str">
        <f t="shared" si="5"/>
        <v/>
      </c>
      <c r="M361" s="3"/>
      <c r="N361" s="3"/>
      <c r="O361" s="23"/>
    </row>
    <row r="362" spans="1:15" x14ac:dyDescent="0.15">
      <c r="A362" s="3"/>
      <c r="B362" s="4"/>
      <c r="C362" s="3"/>
      <c r="D362" s="5"/>
      <c r="E362" s="5"/>
      <c r="G362" s="4"/>
      <c r="H362" s="4"/>
      <c r="I362" s="4"/>
      <c r="J362" s="4"/>
      <c r="L362" s="16" t="str">
        <f t="shared" si="5"/>
        <v/>
      </c>
      <c r="M362" s="3"/>
      <c r="N362" s="3"/>
      <c r="O362" s="23"/>
    </row>
    <row r="363" spans="1:15" x14ac:dyDescent="0.15">
      <c r="A363" s="3"/>
      <c r="B363" s="4"/>
      <c r="C363" s="3"/>
      <c r="D363" s="5"/>
      <c r="E363" s="5"/>
      <c r="G363" s="4"/>
      <c r="H363" s="4"/>
      <c r="I363" s="4"/>
      <c r="J363" s="4"/>
      <c r="L363" s="16" t="str">
        <f t="shared" si="5"/>
        <v/>
      </c>
      <c r="M363" s="3"/>
      <c r="N363" s="3"/>
      <c r="O363" s="23"/>
    </row>
    <row r="364" spans="1:15" x14ac:dyDescent="0.15">
      <c r="A364" s="3"/>
      <c r="B364" s="4"/>
      <c r="C364" s="3"/>
      <c r="D364" s="5"/>
      <c r="E364" s="5"/>
      <c r="G364" s="4"/>
      <c r="H364" s="4"/>
      <c r="I364" s="4"/>
      <c r="J364" s="4"/>
      <c r="L364" s="16" t="str">
        <f t="shared" si="5"/>
        <v/>
      </c>
      <c r="M364" s="3"/>
      <c r="N364" s="3"/>
      <c r="O364" s="23"/>
    </row>
    <row r="365" spans="1:15" x14ac:dyDescent="0.15">
      <c r="A365" s="3"/>
      <c r="B365" s="4"/>
      <c r="C365" s="3"/>
      <c r="D365" s="5"/>
      <c r="E365" s="5"/>
      <c r="G365" s="4"/>
      <c r="H365" s="4"/>
      <c r="I365" s="4"/>
      <c r="J365" s="4"/>
      <c r="L365" s="16" t="str">
        <f t="shared" si="5"/>
        <v/>
      </c>
      <c r="M365" s="3"/>
      <c r="N365" s="3"/>
      <c r="O365" s="23"/>
    </row>
    <row r="366" spans="1:15" x14ac:dyDescent="0.15">
      <c r="A366" s="3"/>
      <c r="B366" s="4"/>
      <c r="C366" s="3"/>
      <c r="D366" s="5"/>
      <c r="E366" s="5"/>
      <c r="G366" s="4"/>
      <c r="H366" s="4"/>
      <c r="I366" s="4"/>
      <c r="J366" s="4"/>
      <c r="L366" s="16" t="str">
        <f t="shared" si="5"/>
        <v/>
      </c>
      <c r="M366" s="3"/>
      <c r="N366" s="3"/>
      <c r="O366" s="23"/>
    </row>
    <row r="367" spans="1:15" x14ac:dyDescent="0.15">
      <c r="A367" s="3"/>
      <c r="B367" s="4"/>
      <c r="C367" s="3"/>
      <c r="D367" s="5"/>
      <c r="E367" s="5"/>
      <c r="G367" s="4"/>
      <c r="H367" s="4"/>
      <c r="I367" s="4"/>
      <c r="J367" s="4"/>
      <c r="L367" s="16" t="str">
        <f t="shared" si="5"/>
        <v/>
      </c>
      <c r="M367" s="3"/>
      <c r="N367" s="3"/>
      <c r="O367" s="23"/>
    </row>
    <row r="368" spans="1:15" x14ac:dyDescent="0.15">
      <c r="A368" s="3"/>
      <c r="B368" s="4"/>
      <c r="C368" s="3"/>
      <c r="D368" s="5"/>
      <c r="E368" s="5"/>
      <c r="G368" s="4"/>
      <c r="H368" s="4"/>
      <c r="I368" s="4"/>
      <c r="J368" s="4"/>
      <c r="L368" s="16" t="str">
        <f t="shared" si="5"/>
        <v/>
      </c>
      <c r="M368" s="3"/>
      <c r="N368" s="3"/>
      <c r="O368" s="23"/>
    </row>
    <row r="369" spans="1:15" x14ac:dyDescent="0.15">
      <c r="A369" s="3"/>
      <c r="B369" s="4"/>
      <c r="C369" s="3"/>
      <c r="D369" s="5"/>
      <c r="E369" s="5"/>
      <c r="G369" s="4"/>
      <c r="H369" s="4"/>
      <c r="I369" s="4"/>
      <c r="J369" s="4"/>
      <c r="L369" s="16" t="str">
        <f t="shared" si="5"/>
        <v/>
      </c>
      <c r="M369" s="3"/>
      <c r="N369" s="3"/>
      <c r="O369" s="23"/>
    </row>
    <row r="370" spans="1:15" x14ac:dyDescent="0.15">
      <c r="A370" s="3"/>
      <c r="B370" s="4"/>
      <c r="C370" s="3"/>
      <c r="D370" s="5"/>
      <c r="E370" s="5"/>
      <c r="G370" s="4"/>
      <c r="H370" s="4"/>
      <c r="I370" s="4"/>
      <c r="J370" s="4"/>
      <c r="L370" s="16" t="str">
        <f t="shared" ref="L370:L433" si="6">IF(AND(J370="",E370="請求書"),D370,"")</f>
        <v/>
      </c>
      <c r="M370" s="3"/>
      <c r="N370" s="3"/>
      <c r="O370" s="23"/>
    </row>
    <row r="371" spans="1:15" x14ac:dyDescent="0.15">
      <c r="A371" s="3"/>
      <c r="B371" s="4"/>
      <c r="C371" s="3"/>
      <c r="D371" s="5"/>
      <c r="E371" s="5"/>
      <c r="G371" s="4"/>
      <c r="H371" s="4"/>
      <c r="I371" s="4"/>
      <c r="J371" s="4"/>
      <c r="L371" s="16" t="str">
        <f t="shared" si="6"/>
        <v/>
      </c>
      <c r="M371" s="3"/>
      <c r="N371" s="3"/>
      <c r="O371" s="23"/>
    </row>
    <row r="372" spans="1:15" x14ac:dyDescent="0.15">
      <c r="A372" s="3"/>
      <c r="B372" s="4"/>
      <c r="C372" s="3"/>
      <c r="D372" s="5"/>
      <c r="E372" s="5"/>
      <c r="G372" s="4"/>
      <c r="H372" s="4"/>
      <c r="I372" s="4"/>
      <c r="J372" s="4"/>
      <c r="L372" s="16" t="str">
        <f t="shared" si="6"/>
        <v/>
      </c>
      <c r="M372" s="3"/>
      <c r="N372" s="3"/>
      <c r="O372" s="23"/>
    </row>
    <row r="373" spans="1:15" x14ac:dyDescent="0.15">
      <c r="A373" s="3"/>
      <c r="B373" s="4"/>
      <c r="C373" s="3"/>
      <c r="D373" s="5"/>
      <c r="E373" s="5"/>
      <c r="G373" s="4"/>
      <c r="H373" s="4"/>
      <c r="I373" s="4"/>
      <c r="J373" s="4"/>
      <c r="L373" s="16" t="str">
        <f t="shared" si="6"/>
        <v/>
      </c>
      <c r="M373" s="3"/>
      <c r="N373" s="3"/>
      <c r="O373" s="23"/>
    </row>
    <row r="374" spans="1:15" x14ac:dyDescent="0.15">
      <c r="A374" s="3"/>
      <c r="B374" s="4"/>
      <c r="C374" s="3"/>
      <c r="D374" s="5"/>
      <c r="E374" s="5"/>
      <c r="G374" s="4"/>
      <c r="H374" s="4"/>
      <c r="I374" s="4"/>
      <c r="J374" s="4"/>
      <c r="L374" s="16" t="str">
        <f t="shared" si="6"/>
        <v/>
      </c>
      <c r="M374" s="3"/>
      <c r="N374" s="3"/>
      <c r="O374" s="23"/>
    </row>
    <row r="375" spans="1:15" x14ac:dyDescent="0.15">
      <c r="A375" s="3"/>
      <c r="B375" s="4"/>
      <c r="C375" s="3"/>
      <c r="D375" s="5"/>
      <c r="E375" s="5"/>
      <c r="G375" s="4"/>
      <c r="H375" s="4"/>
      <c r="I375" s="4"/>
      <c r="J375" s="4"/>
      <c r="L375" s="16" t="str">
        <f t="shared" si="6"/>
        <v/>
      </c>
      <c r="M375" s="3"/>
      <c r="N375" s="3"/>
      <c r="O375" s="23"/>
    </row>
    <row r="376" spans="1:15" x14ac:dyDescent="0.15">
      <c r="A376" s="3"/>
      <c r="B376" s="4"/>
      <c r="C376" s="3"/>
      <c r="D376" s="5"/>
      <c r="E376" s="5"/>
      <c r="G376" s="4"/>
      <c r="H376" s="4"/>
      <c r="I376" s="4"/>
      <c r="J376" s="4"/>
      <c r="L376" s="16" t="str">
        <f t="shared" si="6"/>
        <v/>
      </c>
      <c r="M376" s="3"/>
      <c r="N376" s="3"/>
      <c r="O376" s="23"/>
    </row>
    <row r="377" spans="1:15" x14ac:dyDescent="0.15">
      <c r="A377" s="3"/>
      <c r="B377" s="4"/>
      <c r="C377" s="3"/>
      <c r="D377" s="5"/>
      <c r="E377" s="5"/>
      <c r="G377" s="4"/>
      <c r="H377" s="4"/>
      <c r="I377" s="4"/>
      <c r="J377" s="4"/>
      <c r="L377" s="16" t="str">
        <f t="shared" si="6"/>
        <v/>
      </c>
      <c r="M377" s="3"/>
      <c r="N377" s="3"/>
      <c r="O377" s="23"/>
    </row>
    <row r="378" spans="1:15" x14ac:dyDescent="0.15">
      <c r="A378" s="3"/>
      <c r="B378" s="4"/>
      <c r="C378" s="3"/>
      <c r="D378" s="5"/>
      <c r="E378" s="5"/>
      <c r="G378" s="4"/>
      <c r="H378" s="4"/>
      <c r="I378" s="4"/>
      <c r="J378" s="4"/>
      <c r="L378" s="16" t="str">
        <f t="shared" si="6"/>
        <v/>
      </c>
      <c r="M378" s="3"/>
      <c r="N378" s="3"/>
      <c r="O378" s="23"/>
    </row>
    <row r="379" spans="1:15" x14ac:dyDescent="0.15">
      <c r="A379" s="3"/>
      <c r="B379" s="4"/>
      <c r="C379" s="3"/>
      <c r="D379" s="5"/>
      <c r="E379" s="5"/>
      <c r="G379" s="4"/>
      <c r="H379" s="4"/>
      <c r="I379" s="4"/>
      <c r="J379" s="4"/>
      <c r="L379" s="16" t="str">
        <f t="shared" si="6"/>
        <v/>
      </c>
      <c r="M379" s="3"/>
      <c r="N379" s="3"/>
      <c r="O379" s="23"/>
    </row>
    <row r="380" spans="1:15" x14ac:dyDescent="0.15">
      <c r="A380" s="3"/>
      <c r="B380" s="4"/>
      <c r="C380" s="3"/>
      <c r="D380" s="5"/>
      <c r="E380" s="5"/>
      <c r="G380" s="4"/>
      <c r="H380" s="4"/>
      <c r="I380" s="4"/>
      <c r="J380" s="4"/>
      <c r="L380" s="16" t="str">
        <f t="shared" si="6"/>
        <v/>
      </c>
      <c r="M380" s="3"/>
      <c r="N380" s="3"/>
      <c r="O380" s="23"/>
    </row>
    <row r="381" spans="1:15" x14ac:dyDescent="0.15">
      <c r="A381" s="3"/>
      <c r="B381" s="4"/>
      <c r="C381" s="3"/>
      <c r="D381" s="5"/>
      <c r="E381" s="5"/>
      <c r="G381" s="4"/>
      <c r="H381" s="4"/>
      <c r="I381" s="4"/>
      <c r="J381" s="4"/>
      <c r="L381" s="16" t="str">
        <f t="shared" si="6"/>
        <v/>
      </c>
      <c r="M381" s="3"/>
      <c r="N381" s="3"/>
      <c r="O381" s="23"/>
    </row>
    <row r="382" spans="1:15" x14ac:dyDescent="0.15">
      <c r="A382" s="3"/>
      <c r="B382" s="4"/>
      <c r="C382" s="3"/>
      <c r="D382" s="5"/>
      <c r="E382" s="5"/>
      <c r="G382" s="4"/>
      <c r="H382" s="4"/>
      <c r="I382" s="4"/>
      <c r="J382" s="4"/>
      <c r="L382" s="16" t="str">
        <f t="shared" si="6"/>
        <v/>
      </c>
      <c r="M382" s="3"/>
      <c r="N382" s="3"/>
      <c r="O382" s="23"/>
    </row>
    <row r="383" spans="1:15" x14ac:dyDescent="0.15">
      <c r="A383" s="3"/>
      <c r="B383" s="4"/>
      <c r="C383" s="3"/>
      <c r="D383" s="5"/>
      <c r="E383" s="5"/>
      <c r="G383" s="4"/>
      <c r="H383" s="4"/>
      <c r="I383" s="4"/>
      <c r="J383" s="4"/>
      <c r="L383" s="16" t="str">
        <f t="shared" si="6"/>
        <v/>
      </c>
      <c r="M383" s="3"/>
      <c r="N383" s="3"/>
      <c r="O383" s="23"/>
    </row>
    <row r="384" spans="1:15" x14ac:dyDescent="0.15">
      <c r="A384" s="3"/>
      <c r="B384" s="4"/>
      <c r="C384" s="3"/>
      <c r="D384" s="5"/>
      <c r="E384" s="5"/>
      <c r="G384" s="4"/>
      <c r="H384" s="4"/>
      <c r="I384" s="4"/>
      <c r="J384" s="4"/>
      <c r="L384" s="16" t="str">
        <f t="shared" si="6"/>
        <v/>
      </c>
      <c r="M384" s="3"/>
      <c r="N384" s="3"/>
      <c r="O384" s="23"/>
    </row>
    <row r="385" spans="1:15" x14ac:dyDescent="0.15">
      <c r="A385" s="3"/>
      <c r="B385" s="4"/>
      <c r="C385" s="3"/>
      <c r="D385" s="5"/>
      <c r="E385" s="5"/>
      <c r="G385" s="4"/>
      <c r="H385" s="4"/>
      <c r="I385" s="4"/>
      <c r="J385" s="4"/>
      <c r="L385" s="16" t="str">
        <f t="shared" si="6"/>
        <v/>
      </c>
      <c r="M385" s="3"/>
      <c r="N385" s="3"/>
      <c r="O385" s="23"/>
    </row>
    <row r="386" spans="1:15" x14ac:dyDescent="0.15">
      <c r="A386" s="3"/>
      <c r="B386" s="4"/>
      <c r="C386" s="3"/>
      <c r="D386" s="5"/>
      <c r="E386" s="5"/>
      <c r="G386" s="4"/>
      <c r="H386" s="4"/>
      <c r="I386" s="4"/>
      <c r="J386" s="4"/>
      <c r="L386" s="16" t="str">
        <f t="shared" si="6"/>
        <v/>
      </c>
      <c r="M386" s="3"/>
      <c r="N386" s="3"/>
      <c r="O386" s="23"/>
    </row>
    <row r="387" spans="1:15" x14ac:dyDescent="0.15">
      <c r="A387" s="3"/>
      <c r="B387" s="4"/>
      <c r="C387" s="3"/>
      <c r="D387" s="5"/>
      <c r="E387" s="5"/>
      <c r="G387" s="4"/>
      <c r="H387" s="4"/>
      <c r="I387" s="4"/>
      <c r="J387" s="4"/>
      <c r="L387" s="16" t="str">
        <f t="shared" si="6"/>
        <v/>
      </c>
      <c r="M387" s="3"/>
      <c r="N387" s="3"/>
      <c r="O387" s="23"/>
    </row>
    <row r="388" spans="1:15" x14ac:dyDescent="0.15">
      <c r="A388" s="3"/>
      <c r="B388" s="4"/>
      <c r="C388" s="3"/>
      <c r="D388" s="5"/>
      <c r="E388" s="5"/>
      <c r="G388" s="4"/>
      <c r="H388" s="4"/>
      <c r="I388" s="4"/>
      <c r="J388" s="4"/>
      <c r="L388" s="16" t="str">
        <f t="shared" si="6"/>
        <v/>
      </c>
      <c r="M388" s="3"/>
      <c r="N388" s="3"/>
      <c r="O388" s="23"/>
    </row>
    <row r="389" spans="1:15" x14ac:dyDescent="0.15">
      <c r="A389" s="3"/>
      <c r="B389" s="4"/>
      <c r="C389" s="3"/>
      <c r="D389" s="5"/>
      <c r="E389" s="5"/>
      <c r="G389" s="4"/>
      <c r="H389" s="4"/>
      <c r="I389" s="4"/>
      <c r="J389" s="4"/>
      <c r="L389" s="16" t="str">
        <f t="shared" si="6"/>
        <v/>
      </c>
      <c r="M389" s="3"/>
      <c r="N389" s="3"/>
      <c r="O389" s="23"/>
    </row>
    <row r="390" spans="1:15" x14ac:dyDescent="0.15">
      <c r="A390" s="3"/>
      <c r="B390" s="4"/>
      <c r="C390" s="3"/>
      <c r="D390" s="5"/>
      <c r="E390" s="5"/>
      <c r="G390" s="4"/>
      <c r="H390" s="4"/>
      <c r="I390" s="4"/>
      <c r="J390" s="4"/>
      <c r="L390" s="16" t="str">
        <f t="shared" si="6"/>
        <v/>
      </c>
      <c r="M390" s="3"/>
      <c r="N390" s="3"/>
      <c r="O390" s="23"/>
    </row>
    <row r="391" spans="1:15" x14ac:dyDescent="0.15">
      <c r="A391" s="3"/>
      <c r="B391" s="4"/>
      <c r="C391" s="3"/>
      <c r="D391" s="5"/>
      <c r="E391" s="5"/>
      <c r="G391" s="4"/>
      <c r="H391" s="4"/>
      <c r="I391" s="4"/>
      <c r="J391" s="4"/>
      <c r="L391" s="16" t="str">
        <f t="shared" si="6"/>
        <v/>
      </c>
      <c r="M391" s="3"/>
      <c r="N391" s="3"/>
      <c r="O391" s="23"/>
    </row>
    <row r="392" spans="1:15" x14ac:dyDescent="0.15">
      <c r="A392" s="3"/>
      <c r="B392" s="4"/>
      <c r="C392" s="3"/>
      <c r="D392" s="5"/>
      <c r="E392" s="5"/>
      <c r="G392" s="4"/>
      <c r="H392" s="4"/>
      <c r="I392" s="4"/>
      <c r="J392" s="4"/>
      <c r="L392" s="16" t="str">
        <f t="shared" si="6"/>
        <v/>
      </c>
      <c r="M392" s="3"/>
      <c r="N392" s="3"/>
      <c r="O392" s="23"/>
    </row>
    <row r="393" spans="1:15" x14ac:dyDescent="0.15">
      <c r="A393" s="3"/>
      <c r="B393" s="4"/>
      <c r="C393" s="3"/>
      <c r="D393" s="5"/>
      <c r="E393" s="5"/>
      <c r="G393" s="4"/>
      <c r="H393" s="4"/>
      <c r="I393" s="4"/>
      <c r="J393" s="4"/>
      <c r="L393" s="16" t="str">
        <f t="shared" si="6"/>
        <v/>
      </c>
      <c r="M393" s="3"/>
      <c r="N393" s="3"/>
      <c r="O393" s="23"/>
    </row>
    <row r="394" spans="1:15" x14ac:dyDescent="0.15">
      <c r="A394" s="3"/>
      <c r="B394" s="4"/>
      <c r="C394" s="3"/>
      <c r="D394" s="5"/>
      <c r="E394" s="5"/>
      <c r="G394" s="4"/>
      <c r="H394" s="4"/>
      <c r="I394" s="4"/>
      <c r="J394" s="4"/>
      <c r="L394" s="16" t="str">
        <f t="shared" si="6"/>
        <v/>
      </c>
      <c r="M394" s="3"/>
      <c r="N394" s="3"/>
      <c r="O394" s="23"/>
    </row>
    <row r="395" spans="1:15" x14ac:dyDescent="0.15">
      <c r="A395" s="3"/>
      <c r="B395" s="4"/>
      <c r="C395" s="3"/>
      <c r="D395" s="5"/>
      <c r="E395" s="5"/>
      <c r="G395" s="4"/>
      <c r="H395" s="4"/>
      <c r="I395" s="4"/>
      <c r="J395" s="4"/>
      <c r="L395" s="16" t="str">
        <f t="shared" si="6"/>
        <v/>
      </c>
      <c r="M395" s="3"/>
      <c r="N395" s="3"/>
      <c r="O395" s="23"/>
    </row>
    <row r="396" spans="1:15" x14ac:dyDescent="0.15">
      <c r="A396" s="3"/>
      <c r="B396" s="4"/>
      <c r="C396" s="3"/>
      <c r="D396" s="5"/>
      <c r="E396" s="5"/>
      <c r="G396" s="4"/>
      <c r="H396" s="4"/>
      <c r="I396" s="4"/>
      <c r="J396" s="4"/>
      <c r="L396" s="16" t="str">
        <f t="shared" si="6"/>
        <v/>
      </c>
      <c r="M396" s="3"/>
      <c r="N396" s="3"/>
      <c r="O396" s="23"/>
    </row>
    <row r="397" spans="1:15" x14ac:dyDescent="0.15">
      <c r="A397" s="3"/>
      <c r="B397" s="4"/>
      <c r="C397" s="3"/>
      <c r="D397" s="5"/>
      <c r="E397" s="5"/>
      <c r="G397" s="4"/>
      <c r="H397" s="4"/>
      <c r="I397" s="4"/>
      <c r="J397" s="4"/>
      <c r="L397" s="16" t="str">
        <f t="shared" si="6"/>
        <v/>
      </c>
      <c r="M397" s="3"/>
      <c r="N397" s="3"/>
      <c r="O397" s="23"/>
    </row>
    <row r="398" spans="1:15" x14ac:dyDescent="0.15">
      <c r="A398" s="3"/>
      <c r="B398" s="4"/>
      <c r="C398" s="3"/>
      <c r="D398" s="5"/>
      <c r="E398" s="5"/>
      <c r="G398" s="4"/>
      <c r="H398" s="4"/>
      <c r="I398" s="4"/>
      <c r="J398" s="4"/>
      <c r="L398" s="16" t="str">
        <f t="shared" si="6"/>
        <v/>
      </c>
      <c r="M398" s="3"/>
      <c r="N398" s="3"/>
      <c r="O398" s="23"/>
    </row>
    <row r="399" spans="1:15" x14ac:dyDescent="0.15">
      <c r="A399" s="3"/>
      <c r="B399" s="4"/>
      <c r="C399" s="3"/>
      <c r="D399" s="5"/>
      <c r="E399" s="5"/>
      <c r="G399" s="4"/>
      <c r="H399" s="4"/>
      <c r="I399" s="4"/>
      <c r="J399" s="4"/>
      <c r="L399" s="16" t="str">
        <f t="shared" si="6"/>
        <v/>
      </c>
      <c r="M399" s="3"/>
      <c r="N399" s="3"/>
      <c r="O399" s="23"/>
    </row>
    <row r="400" spans="1:15" x14ac:dyDescent="0.15">
      <c r="A400" s="3"/>
      <c r="B400" s="4"/>
      <c r="C400" s="3"/>
      <c r="D400" s="5"/>
      <c r="E400" s="5"/>
      <c r="G400" s="4"/>
      <c r="H400" s="4"/>
      <c r="I400" s="4"/>
      <c r="J400" s="4"/>
      <c r="L400" s="16" t="str">
        <f t="shared" si="6"/>
        <v/>
      </c>
      <c r="M400" s="3"/>
      <c r="N400" s="3"/>
      <c r="O400" s="23"/>
    </row>
    <row r="401" spans="1:15" x14ac:dyDescent="0.15">
      <c r="A401" s="3"/>
      <c r="B401" s="4"/>
      <c r="C401" s="3"/>
      <c r="D401" s="5"/>
      <c r="E401" s="5"/>
      <c r="G401" s="4"/>
      <c r="H401" s="4"/>
      <c r="I401" s="4"/>
      <c r="J401" s="4"/>
      <c r="L401" s="16" t="str">
        <f t="shared" si="6"/>
        <v/>
      </c>
      <c r="M401" s="3"/>
      <c r="N401" s="3"/>
      <c r="O401" s="23"/>
    </row>
    <row r="402" spans="1:15" x14ac:dyDescent="0.15">
      <c r="A402" s="3"/>
      <c r="B402" s="4"/>
      <c r="C402" s="3"/>
      <c r="D402" s="5"/>
      <c r="E402" s="5"/>
      <c r="G402" s="4"/>
      <c r="H402" s="4"/>
      <c r="I402" s="4"/>
      <c r="J402" s="4"/>
      <c r="L402" s="16" t="str">
        <f t="shared" si="6"/>
        <v/>
      </c>
      <c r="M402" s="3"/>
      <c r="N402" s="3"/>
      <c r="O402" s="23"/>
    </row>
    <row r="403" spans="1:15" x14ac:dyDescent="0.15">
      <c r="A403" s="3"/>
      <c r="B403" s="4"/>
      <c r="C403" s="3"/>
      <c r="D403" s="5"/>
      <c r="E403" s="5"/>
      <c r="G403" s="4"/>
      <c r="H403" s="4"/>
      <c r="I403" s="4"/>
      <c r="J403" s="4"/>
      <c r="L403" s="16" t="str">
        <f t="shared" si="6"/>
        <v/>
      </c>
      <c r="M403" s="3"/>
      <c r="N403" s="3"/>
      <c r="O403" s="23"/>
    </row>
    <row r="404" spans="1:15" x14ac:dyDescent="0.15">
      <c r="A404" s="3"/>
      <c r="B404" s="4"/>
      <c r="C404" s="3"/>
      <c r="D404" s="5"/>
      <c r="E404" s="5"/>
      <c r="G404" s="4"/>
      <c r="H404" s="4"/>
      <c r="I404" s="4"/>
      <c r="J404" s="4"/>
      <c r="L404" s="16" t="str">
        <f t="shared" si="6"/>
        <v/>
      </c>
      <c r="M404" s="3"/>
      <c r="N404" s="3"/>
      <c r="O404" s="23"/>
    </row>
    <row r="405" spans="1:15" x14ac:dyDescent="0.15">
      <c r="A405" s="3"/>
      <c r="B405" s="4"/>
      <c r="C405" s="3"/>
      <c r="D405" s="5"/>
      <c r="E405" s="5"/>
      <c r="G405" s="4"/>
      <c r="H405" s="4"/>
      <c r="I405" s="4"/>
      <c r="J405" s="4"/>
      <c r="L405" s="16" t="str">
        <f t="shared" si="6"/>
        <v/>
      </c>
      <c r="M405" s="3"/>
      <c r="N405" s="3"/>
      <c r="O405" s="23"/>
    </row>
    <row r="406" spans="1:15" x14ac:dyDescent="0.15">
      <c r="A406" s="3"/>
      <c r="B406" s="4"/>
      <c r="C406" s="3"/>
      <c r="D406" s="5"/>
      <c r="E406" s="5"/>
      <c r="G406" s="4"/>
      <c r="H406" s="4"/>
      <c r="I406" s="4"/>
      <c r="J406" s="4"/>
      <c r="L406" s="16" t="str">
        <f t="shared" si="6"/>
        <v/>
      </c>
      <c r="M406" s="3"/>
      <c r="N406" s="3"/>
      <c r="O406" s="23"/>
    </row>
    <row r="407" spans="1:15" x14ac:dyDescent="0.15">
      <c r="A407" s="3"/>
      <c r="B407" s="4"/>
      <c r="C407" s="3"/>
      <c r="D407" s="5"/>
      <c r="E407" s="5"/>
      <c r="G407" s="4"/>
      <c r="H407" s="4"/>
      <c r="I407" s="4"/>
      <c r="J407" s="4"/>
      <c r="L407" s="16" t="str">
        <f t="shared" si="6"/>
        <v/>
      </c>
      <c r="M407" s="3"/>
      <c r="N407" s="3"/>
      <c r="O407" s="23"/>
    </row>
    <row r="408" spans="1:15" x14ac:dyDescent="0.15">
      <c r="A408" s="3"/>
      <c r="B408" s="4"/>
      <c r="C408" s="3"/>
      <c r="D408" s="5"/>
      <c r="E408" s="5"/>
      <c r="G408" s="4"/>
      <c r="H408" s="4"/>
      <c r="I408" s="4"/>
      <c r="J408" s="4"/>
      <c r="L408" s="16" t="str">
        <f t="shared" si="6"/>
        <v/>
      </c>
      <c r="M408" s="3"/>
      <c r="N408" s="3"/>
      <c r="O408" s="23"/>
    </row>
    <row r="409" spans="1:15" x14ac:dyDescent="0.15">
      <c r="A409" s="3"/>
      <c r="B409" s="4"/>
      <c r="C409" s="3"/>
      <c r="D409" s="5"/>
      <c r="E409" s="5"/>
      <c r="G409" s="4"/>
      <c r="H409" s="4"/>
      <c r="I409" s="4"/>
      <c r="J409" s="4"/>
      <c r="L409" s="16" t="str">
        <f t="shared" si="6"/>
        <v/>
      </c>
      <c r="M409" s="3"/>
      <c r="N409" s="3"/>
      <c r="O409" s="23"/>
    </row>
    <row r="410" spans="1:15" x14ac:dyDescent="0.15">
      <c r="A410" s="3"/>
      <c r="B410" s="4"/>
      <c r="C410" s="3"/>
      <c r="D410" s="5"/>
      <c r="E410" s="5"/>
      <c r="G410" s="4"/>
      <c r="H410" s="4"/>
      <c r="I410" s="4"/>
      <c r="J410" s="4"/>
      <c r="L410" s="16" t="str">
        <f t="shared" si="6"/>
        <v/>
      </c>
      <c r="M410" s="3"/>
      <c r="N410" s="3"/>
      <c r="O410" s="23"/>
    </row>
    <row r="411" spans="1:15" x14ac:dyDescent="0.15">
      <c r="A411" s="3"/>
      <c r="B411" s="4"/>
      <c r="C411" s="3"/>
      <c r="D411" s="5"/>
      <c r="E411" s="5"/>
      <c r="G411" s="4"/>
      <c r="H411" s="4"/>
      <c r="I411" s="4"/>
      <c r="J411" s="4"/>
      <c r="L411" s="16" t="str">
        <f t="shared" si="6"/>
        <v/>
      </c>
      <c r="M411" s="3"/>
      <c r="N411" s="3"/>
      <c r="O411" s="23"/>
    </row>
    <row r="412" spans="1:15" x14ac:dyDescent="0.15">
      <c r="A412" s="3"/>
      <c r="B412" s="4"/>
      <c r="C412" s="3"/>
      <c r="D412" s="5"/>
      <c r="E412" s="5"/>
      <c r="G412" s="4"/>
      <c r="H412" s="4"/>
      <c r="I412" s="4"/>
      <c r="J412" s="4"/>
      <c r="L412" s="16" t="str">
        <f t="shared" si="6"/>
        <v/>
      </c>
      <c r="M412" s="3"/>
      <c r="N412" s="3"/>
      <c r="O412" s="23"/>
    </row>
    <row r="413" spans="1:15" x14ac:dyDescent="0.15">
      <c r="A413" s="3"/>
      <c r="B413" s="4"/>
      <c r="C413" s="3"/>
      <c r="D413" s="5"/>
      <c r="E413" s="5"/>
      <c r="G413" s="4"/>
      <c r="H413" s="4"/>
      <c r="I413" s="4"/>
      <c r="J413" s="4"/>
      <c r="L413" s="16" t="str">
        <f t="shared" si="6"/>
        <v/>
      </c>
      <c r="M413" s="3"/>
      <c r="N413" s="3"/>
      <c r="O413" s="23"/>
    </row>
    <row r="414" spans="1:15" x14ac:dyDescent="0.15">
      <c r="A414" s="3"/>
      <c r="B414" s="4"/>
      <c r="C414" s="3"/>
      <c r="D414" s="5"/>
      <c r="E414" s="5"/>
      <c r="G414" s="4"/>
      <c r="H414" s="4"/>
      <c r="I414" s="4"/>
      <c r="J414" s="4"/>
      <c r="L414" s="16" t="str">
        <f t="shared" si="6"/>
        <v/>
      </c>
      <c r="M414" s="3"/>
      <c r="N414" s="3"/>
      <c r="O414" s="23"/>
    </row>
    <row r="415" spans="1:15" x14ac:dyDescent="0.15">
      <c r="A415" s="3"/>
      <c r="B415" s="4"/>
      <c r="C415" s="3"/>
      <c r="D415" s="5"/>
      <c r="E415" s="5"/>
      <c r="G415" s="4"/>
      <c r="H415" s="4"/>
      <c r="I415" s="4"/>
      <c r="J415" s="4"/>
      <c r="L415" s="16" t="str">
        <f t="shared" si="6"/>
        <v/>
      </c>
      <c r="M415" s="3"/>
      <c r="N415" s="3"/>
      <c r="O415" s="23"/>
    </row>
    <row r="416" spans="1:15" x14ac:dyDescent="0.15">
      <c r="A416" s="3"/>
      <c r="B416" s="4"/>
      <c r="C416" s="3"/>
      <c r="D416" s="5"/>
      <c r="E416" s="5"/>
      <c r="G416" s="4"/>
      <c r="H416" s="4"/>
      <c r="I416" s="4"/>
      <c r="J416" s="4"/>
      <c r="L416" s="16" t="str">
        <f t="shared" si="6"/>
        <v/>
      </c>
      <c r="M416" s="3"/>
      <c r="N416" s="3"/>
      <c r="O416" s="23"/>
    </row>
    <row r="417" spans="1:15" x14ac:dyDescent="0.15">
      <c r="A417" s="3"/>
      <c r="B417" s="4"/>
      <c r="C417" s="3"/>
      <c r="D417" s="5"/>
      <c r="E417" s="5"/>
      <c r="G417" s="4"/>
      <c r="H417" s="4"/>
      <c r="I417" s="4"/>
      <c r="J417" s="4"/>
      <c r="L417" s="16" t="str">
        <f t="shared" si="6"/>
        <v/>
      </c>
      <c r="M417" s="3"/>
      <c r="N417" s="3"/>
      <c r="O417" s="23"/>
    </row>
    <row r="418" spans="1:15" x14ac:dyDescent="0.15">
      <c r="A418" s="3"/>
      <c r="B418" s="4"/>
      <c r="C418" s="3"/>
      <c r="D418" s="5"/>
      <c r="E418" s="5"/>
      <c r="G418" s="4"/>
      <c r="H418" s="4"/>
      <c r="I418" s="4"/>
      <c r="J418" s="4"/>
      <c r="L418" s="16" t="str">
        <f t="shared" si="6"/>
        <v/>
      </c>
      <c r="M418" s="3"/>
      <c r="N418" s="3"/>
      <c r="O418" s="23"/>
    </row>
    <row r="419" spans="1:15" x14ac:dyDescent="0.15">
      <c r="A419" s="3"/>
      <c r="B419" s="4"/>
      <c r="C419" s="3"/>
      <c r="D419" s="5"/>
      <c r="E419" s="5"/>
      <c r="G419" s="4"/>
      <c r="H419" s="4"/>
      <c r="I419" s="4"/>
      <c r="J419" s="4"/>
      <c r="L419" s="16" t="str">
        <f t="shared" si="6"/>
        <v/>
      </c>
      <c r="M419" s="3"/>
      <c r="N419" s="3"/>
      <c r="O419" s="23"/>
    </row>
    <row r="420" spans="1:15" x14ac:dyDescent="0.15">
      <c r="A420" s="3"/>
      <c r="B420" s="4"/>
      <c r="C420" s="3"/>
      <c r="D420" s="5"/>
      <c r="E420" s="5"/>
      <c r="G420" s="4"/>
      <c r="H420" s="4"/>
      <c r="I420" s="4"/>
      <c r="J420" s="4"/>
      <c r="L420" s="16" t="str">
        <f t="shared" si="6"/>
        <v/>
      </c>
      <c r="M420" s="3"/>
      <c r="N420" s="3"/>
      <c r="O420" s="23"/>
    </row>
    <row r="421" spans="1:15" x14ac:dyDescent="0.15">
      <c r="A421" s="3"/>
      <c r="B421" s="4"/>
      <c r="C421" s="3"/>
      <c r="D421" s="5"/>
      <c r="E421" s="5"/>
      <c r="G421" s="4"/>
      <c r="H421" s="4"/>
      <c r="I421" s="4"/>
      <c r="J421" s="4"/>
      <c r="L421" s="16" t="str">
        <f t="shared" si="6"/>
        <v/>
      </c>
      <c r="M421" s="3"/>
      <c r="N421" s="3"/>
      <c r="O421" s="23"/>
    </row>
    <row r="422" spans="1:15" x14ac:dyDescent="0.15">
      <c r="A422" s="3"/>
      <c r="B422" s="4"/>
      <c r="C422" s="3"/>
      <c r="D422" s="5"/>
      <c r="E422" s="5"/>
      <c r="G422" s="4"/>
      <c r="H422" s="4"/>
      <c r="I422" s="4"/>
      <c r="J422" s="4"/>
      <c r="L422" s="16" t="str">
        <f t="shared" si="6"/>
        <v/>
      </c>
      <c r="M422" s="3"/>
      <c r="N422" s="3"/>
      <c r="O422" s="23"/>
    </row>
    <row r="423" spans="1:15" x14ac:dyDescent="0.15">
      <c r="A423" s="3"/>
      <c r="B423" s="4"/>
      <c r="C423" s="3"/>
      <c r="D423" s="5"/>
      <c r="E423" s="5"/>
      <c r="G423" s="4"/>
      <c r="H423" s="4"/>
      <c r="I423" s="4"/>
      <c r="J423" s="4"/>
      <c r="L423" s="16" t="str">
        <f t="shared" si="6"/>
        <v/>
      </c>
      <c r="M423" s="3"/>
      <c r="N423" s="3"/>
      <c r="O423" s="23"/>
    </row>
    <row r="424" spans="1:15" x14ac:dyDescent="0.15">
      <c r="A424" s="3"/>
      <c r="B424" s="4"/>
      <c r="C424" s="3"/>
      <c r="D424" s="5"/>
      <c r="E424" s="5"/>
      <c r="G424" s="4"/>
      <c r="H424" s="4"/>
      <c r="I424" s="4"/>
      <c r="J424" s="4"/>
      <c r="L424" s="16" t="str">
        <f t="shared" si="6"/>
        <v/>
      </c>
      <c r="M424" s="3"/>
      <c r="N424" s="3"/>
      <c r="O424" s="23"/>
    </row>
    <row r="425" spans="1:15" x14ac:dyDescent="0.15">
      <c r="A425" s="3"/>
      <c r="B425" s="4"/>
      <c r="C425" s="3"/>
      <c r="D425" s="5"/>
      <c r="E425" s="5"/>
      <c r="G425" s="4"/>
      <c r="H425" s="4"/>
      <c r="I425" s="4"/>
      <c r="J425" s="4"/>
      <c r="L425" s="16" t="str">
        <f t="shared" si="6"/>
        <v/>
      </c>
      <c r="M425" s="3"/>
      <c r="N425" s="3"/>
      <c r="O425" s="23"/>
    </row>
    <row r="426" spans="1:15" x14ac:dyDescent="0.15">
      <c r="A426" s="3"/>
      <c r="B426" s="4"/>
      <c r="C426" s="3"/>
      <c r="D426" s="5"/>
      <c r="E426" s="5"/>
      <c r="G426" s="4"/>
      <c r="H426" s="4"/>
      <c r="I426" s="4"/>
      <c r="J426" s="4"/>
      <c r="L426" s="16" t="str">
        <f t="shared" si="6"/>
        <v/>
      </c>
      <c r="M426" s="3"/>
      <c r="N426" s="3"/>
      <c r="O426" s="23"/>
    </row>
    <row r="427" spans="1:15" x14ac:dyDescent="0.15">
      <c r="A427" s="3"/>
      <c r="B427" s="4"/>
      <c r="C427" s="3"/>
      <c r="D427" s="5"/>
      <c r="E427" s="5"/>
      <c r="G427" s="4"/>
      <c r="H427" s="4"/>
      <c r="I427" s="4"/>
      <c r="J427" s="4"/>
      <c r="L427" s="16" t="str">
        <f t="shared" si="6"/>
        <v/>
      </c>
      <c r="M427" s="3"/>
      <c r="N427" s="3"/>
      <c r="O427" s="23"/>
    </row>
    <row r="428" spans="1:15" x14ac:dyDescent="0.15">
      <c r="A428" s="3"/>
      <c r="B428" s="4"/>
      <c r="C428" s="3"/>
      <c r="D428" s="5"/>
      <c r="E428" s="5"/>
      <c r="G428" s="4"/>
      <c r="H428" s="4"/>
      <c r="I428" s="4"/>
      <c r="J428" s="4"/>
      <c r="L428" s="16" t="str">
        <f t="shared" si="6"/>
        <v/>
      </c>
      <c r="M428" s="3"/>
      <c r="N428" s="3"/>
      <c r="O428" s="23"/>
    </row>
    <row r="429" spans="1:15" x14ac:dyDescent="0.15">
      <c r="A429" s="3"/>
      <c r="B429" s="4"/>
      <c r="C429" s="3"/>
      <c r="D429" s="5"/>
      <c r="E429" s="5"/>
      <c r="G429" s="4"/>
      <c r="H429" s="4"/>
      <c r="I429" s="4"/>
      <c r="J429" s="4"/>
      <c r="L429" s="16" t="str">
        <f t="shared" si="6"/>
        <v/>
      </c>
      <c r="M429" s="3"/>
      <c r="N429" s="3"/>
      <c r="O429" s="23"/>
    </row>
    <row r="430" spans="1:15" x14ac:dyDescent="0.15">
      <c r="A430" s="3"/>
      <c r="B430" s="4"/>
      <c r="C430" s="3"/>
      <c r="D430" s="5"/>
      <c r="E430" s="5"/>
      <c r="G430" s="4"/>
      <c r="H430" s="4"/>
      <c r="I430" s="4"/>
      <c r="J430" s="4"/>
      <c r="L430" s="16" t="str">
        <f t="shared" si="6"/>
        <v/>
      </c>
      <c r="M430" s="3"/>
      <c r="N430" s="3"/>
      <c r="O430" s="23"/>
    </row>
    <row r="431" spans="1:15" x14ac:dyDescent="0.15">
      <c r="A431" s="3"/>
      <c r="B431" s="4"/>
      <c r="C431" s="3"/>
      <c r="D431" s="5"/>
      <c r="E431" s="5"/>
      <c r="G431" s="4"/>
      <c r="H431" s="4"/>
      <c r="I431" s="4"/>
      <c r="J431" s="4"/>
      <c r="L431" s="16" t="str">
        <f t="shared" si="6"/>
        <v/>
      </c>
      <c r="M431" s="3"/>
      <c r="N431" s="3"/>
      <c r="O431" s="23"/>
    </row>
    <row r="432" spans="1:15" x14ac:dyDescent="0.15">
      <c r="A432" s="3"/>
      <c r="B432" s="4"/>
      <c r="C432" s="3"/>
      <c r="D432" s="5"/>
      <c r="E432" s="5"/>
      <c r="G432" s="4"/>
      <c r="H432" s="4"/>
      <c r="I432" s="4"/>
      <c r="J432" s="4"/>
      <c r="L432" s="16" t="str">
        <f t="shared" si="6"/>
        <v/>
      </c>
      <c r="M432" s="3"/>
      <c r="N432" s="3"/>
      <c r="O432" s="23"/>
    </row>
    <row r="433" spans="1:15" x14ac:dyDescent="0.15">
      <c r="A433" s="3"/>
      <c r="B433" s="4"/>
      <c r="C433" s="3"/>
      <c r="D433" s="5"/>
      <c r="E433" s="5"/>
      <c r="G433" s="4"/>
      <c r="H433" s="4"/>
      <c r="I433" s="4"/>
      <c r="J433" s="4"/>
      <c r="L433" s="16" t="str">
        <f t="shared" si="6"/>
        <v/>
      </c>
      <c r="M433" s="3"/>
      <c r="N433" s="3"/>
      <c r="O433" s="23"/>
    </row>
    <row r="434" spans="1:15" x14ac:dyDescent="0.15">
      <c r="A434" s="3"/>
      <c r="B434" s="4"/>
      <c r="C434" s="3"/>
      <c r="D434" s="5"/>
      <c r="E434" s="5"/>
      <c r="G434" s="4"/>
      <c r="H434" s="4"/>
      <c r="I434" s="4"/>
      <c r="J434" s="4"/>
      <c r="L434" s="16" t="str">
        <f t="shared" ref="L434:L435" si="7">IF(AND(J434="",E434="請求書"),D434,"")</f>
        <v/>
      </c>
      <c r="M434" s="3"/>
      <c r="N434" s="3"/>
      <c r="O434" s="23"/>
    </row>
    <row r="435" spans="1:15" x14ac:dyDescent="0.15">
      <c r="A435" s="3"/>
      <c r="B435" s="4"/>
      <c r="C435" s="3"/>
      <c r="D435" s="5"/>
      <c r="E435" s="5"/>
      <c r="G435" s="4"/>
      <c r="H435" s="4"/>
      <c r="I435" s="4"/>
      <c r="J435" s="4"/>
      <c r="L435" s="16" t="str">
        <f t="shared" si="7"/>
        <v/>
      </c>
      <c r="M435" s="3"/>
      <c r="N435" s="3"/>
      <c r="O435" s="23"/>
    </row>
  </sheetData>
  <phoneticPr fontId="1"/>
  <dataValidations count="1">
    <dataValidation type="list" allowBlank="1" showInputMessage="1" showErrorMessage="1" sqref="E162:E435" xr:uid="{70AF26BC-2265-4E12-B801-2D325AC44DC8}">
      <formula1>"見積り,請求書,領収書"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上田伸也</dc:creator>
  <cp:keywords/>
  <dc:description/>
  <cp:lastModifiedBy>上田伸也</cp:lastModifiedBy>
  <cp:revision/>
  <dcterms:created xsi:type="dcterms:W3CDTF">2022-08-28T08:50:33Z</dcterms:created>
  <dcterms:modified xsi:type="dcterms:W3CDTF">2026-03-26T02:00:18Z</dcterms:modified>
  <cp:category/>
  <cp:contentStatus/>
</cp:coreProperties>
</file>